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儀表板" sheetId="1" state="visible" r:id="rId1"/>
    <sheet xmlns:r="http://schemas.openxmlformats.org/officeDocument/2006/relationships" name="標的清單" sheetId="2" state="visible" r:id="rId2"/>
    <sheet xmlns:r="http://schemas.openxmlformats.org/officeDocument/2006/relationships" name="公司檔案" sheetId="3" state="visible" r:id="rId3"/>
    <sheet xmlns:r="http://schemas.openxmlformats.org/officeDocument/2006/relationships" name="檢討" sheetId="4" state="visible" r:id="rId4"/>
    <sheet xmlns:r="http://schemas.openxmlformats.org/officeDocument/2006/relationships" name="說明" sheetId="5" state="visible" r:id="rId5"/>
  </sheets>
  <definedNames>
    <definedName name="個股清單">OFFSET('公司檔案'!$A$2,0,0,COUNTA('公司檔案'!$A:$A)-1,1)</definedName>
    <definedName name="_xlnm.Print_Titles" localSheetId="1">'標的清單'!$1:$2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%;[Red]-0%"/>
    <numFmt numFmtId="165" formatCode="0.0"/>
    <numFmt numFmtId="166" formatCode="yyyy/mm/dd"/>
    <numFmt numFmtId="167" formatCode="yyyy-mm-dd"/>
    <numFmt numFmtId="168" formatCode="+0.0%;-0.0%;0%"/>
  </numFmts>
  <fonts count="28">
    <font>
      <name val="Calibri"/>
      <family val="2"/>
      <color theme="1"/>
      <sz val="11"/>
      <scheme val="minor"/>
    </font>
    <font>
      <name val="Microsoft JhengHei"/>
      <b val="1"/>
      <color rgb="00404040"/>
      <sz val="10"/>
    </font>
    <font>
      <name val="Microsoft JhengHei"/>
      <b val="1"/>
      <color rgb="00FFFFFF"/>
      <sz val="11"/>
    </font>
    <font>
      <name val="Microsoft JhengHei"/>
      <sz val="11"/>
    </font>
    <font>
      <name val="Microsoft JhengHei"/>
      <b val="1"/>
      <sz val="11"/>
    </font>
    <font>
      <name val="Microsoft JhengHei"/>
      <color rgb="00C00000"/>
      <sz val="10"/>
    </font>
    <font>
      <name val="Microsoft JhengHei"/>
      <b val="1"/>
      <color rgb="00FFFFFF"/>
      <sz val="12"/>
    </font>
    <font>
      <name val="Microsoft JhengHei"/>
      <color rgb="000563C1"/>
      <sz val="11"/>
      <u val="single"/>
    </font>
    <font>
      <name val="Microsoft JhengHei"/>
      <color rgb="002C47C9"/>
      <sz val="11"/>
    </font>
    <font>
      <name val="Microsoft JhengHei"/>
      <b val="1"/>
      <color rgb="00141B2D"/>
      <sz val="22"/>
    </font>
    <font>
      <name val="Microsoft JhengHei"/>
      <color rgb="005B6478"/>
      <sz val="10"/>
    </font>
    <font>
      <name val="Microsoft JhengHei"/>
      <b val="1"/>
      <color rgb="00141B2D"/>
      <sz val="20"/>
    </font>
    <font>
      <name val="Microsoft JhengHei"/>
      <b val="1"/>
      <color rgb="00141B2D"/>
      <sz val="12"/>
    </font>
    <font>
      <name val="Microsoft JhengHei"/>
      <b val="1"/>
      <color rgb="002C47C9"/>
      <sz val="14"/>
    </font>
    <font>
      <name val="Microsoft JhengHei"/>
      <color rgb="00CF2E3A"/>
      <sz val="10"/>
    </font>
    <font>
      <name val="Microsoft JhengHei"/>
      <b val="1"/>
      <color rgb="002C47C9"/>
      <sz val="12"/>
    </font>
    <font>
      <name val="Microsoft JhengHei"/>
      <b val="1"/>
      <color rgb="005B6478"/>
      <sz val="10"/>
    </font>
    <font>
      <name val="Microsoft JhengHei"/>
      <color rgb="00141B2D"/>
      <sz val="11"/>
    </font>
    <font>
      <name val="Microsoft JhengHei"/>
      <b val="1"/>
      <color rgb="002C47C9"/>
      <sz val="11"/>
    </font>
    <font>
      <name val="Microsoft JhengHei"/>
      <b val="1"/>
      <color rgb="00CF2E3A"/>
      <sz val="11"/>
    </font>
    <font>
      <name val="Microsoft JhengHei"/>
      <color rgb="00CF2E3A"/>
      <sz val="11"/>
    </font>
    <font>
      <name val="Microsoft JhengHei"/>
      <b val="1"/>
      <color rgb="0016815A"/>
      <sz val="11"/>
    </font>
    <font>
      <name val="Microsoft JhengHei"/>
      <color rgb="0016815A"/>
      <sz val="10"/>
    </font>
    <font>
      <name val="Microsoft JhengHei"/>
      <color rgb="0016815A"/>
      <sz val="11"/>
    </font>
    <font>
      <name val="Microsoft JhengHei"/>
      <b val="1"/>
      <color rgb="0016815A"/>
      <sz val="12"/>
    </font>
    <font>
      <name val="Microsoft JhengHei"/>
      <color rgb="002C47C9"/>
      <sz val="10"/>
    </font>
    <font>
      <name val="Microsoft JhengHei"/>
      <b val="1"/>
      <color rgb="00141B2D"/>
      <sz val="11"/>
    </font>
    <font>
      <name val="Microsoft JhengHei"/>
      <color rgb="005B6478"/>
      <sz val="9"/>
    </font>
  </fonts>
  <fills count="20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44546A"/>
      </patternFill>
    </fill>
    <fill>
      <patternFill patternType="solid">
        <fgColor rgb="00E2EFDA"/>
      </patternFill>
    </fill>
    <fill>
      <patternFill patternType="solid">
        <fgColor rgb="002E7D32"/>
      </patternFill>
    </fill>
    <fill>
      <patternFill patternType="solid">
        <fgColor rgb="00FCE4D6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EDEDED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4F6FA"/>
      </patternFill>
    </fill>
    <fill>
      <patternFill patternType="solid">
        <fgColor rgb="00E6EAFB"/>
      </patternFill>
    </fill>
    <fill>
      <patternFill patternType="solid">
        <fgColor rgb="00FBE7E8"/>
      </patternFill>
    </fill>
    <fill>
      <patternFill patternType="solid">
        <fgColor rgb="00E2F3EB"/>
      </patternFill>
    </fill>
    <fill>
      <patternFill patternType="solid">
        <fgColor rgb="00FCF0D6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bottom style="thin">
        <color rgb="00DCE0E8"/>
      </bottom>
    </border>
    <border>
      <left style="medium">
        <color rgb="00B7790A"/>
      </left>
      <right style="medium">
        <color rgb="00B7790A"/>
      </right>
      <top style="medium">
        <color rgb="00B7790A"/>
      </top>
      <bottom style="medium">
        <color rgb="00B7790A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13" borderId="0" applyAlignment="1" pivotButton="0" quotePrefix="0" xfId="0">
      <alignment vertical="center"/>
    </xf>
    <xf numFmtId="0" fontId="4" fillId="14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1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3" fillId="12" borderId="1" applyAlignment="1" pivotButton="0" quotePrefix="0" xfId="0">
      <alignment horizontal="right"/>
    </xf>
    <xf numFmtId="166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10" fillId="15" borderId="0" applyAlignment="1" pivotButton="0" quotePrefix="0" xfId="0">
      <alignment horizontal="left" vertical="center"/>
    </xf>
    <xf numFmtId="0" fontId="0" fillId="15" borderId="0" pivotButton="0" quotePrefix="0" xfId="0"/>
    <xf numFmtId="1" fontId="11" fillId="15" borderId="0" applyAlignment="1" pivotButton="0" quotePrefix="0" xfId="0">
      <alignment horizontal="left" vertical="center"/>
    </xf>
    <xf numFmtId="9" fontId="11" fillId="15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49" fontId="13" fillId="12" borderId="3" applyAlignment="1" pivotButton="0" quotePrefix="0" xfId="0">
      <alignment horizontal="center" vertical="center"/>
    </xf>
    <xf numFmtId="0" fontId="0" fillId="12" borderId="3" pivotButton="0" quotePrefix="0" xfId="0"/>
    <xf numFmtId="0" fontId="14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9" fillId="17" borderId="2" applyAlignment="1" pivotButton="0" quotePrefix="0" xfId="0">
      <alignment horizontal="left" vertical="center"/>
    </xf>
    <xf numFmtId="3" fontId="12" fillId="17" borderId="2" applyAlignment="1" pivotButton="0" quotePrefix="0" xfId="0">
      <alignment horizontal="right" vertical="center"/>
    </xf>
    <xf numFmtId="168" fontId="20" fillId="17" borderId="2" applyAlignment="1" pivotButton="0" quotePrefix="0" xfId="0">
      <alignment horizontal="right" vertical="center"/>
    </xf>
    <xf numFmtId="0" fontId="14" fillId="17" borderId="2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 wrapText="1"/>
    </xf>
    <xf numFmtId="0" fontId="21" fillId="18" borderId="2" applyAlignment="1" pivotButton="0" quotePrefix="0" xfId="0">
      <alignment horizontal="left" vertical="center"/>
    </xf>
    <xf numFmtId="3" fontId="24" fillId="18" borderId="2" applyAlignment="1" pivotButton="0" quotePrefix="0" xfId="0">
      <alignment horizontal="right" vertical="center"/>
    </xf>
    <xf numFmtId="0" fontId="0" fillId="18" borderId="2" pivotButton="0" quotePrefix="0" xfId="0"/>
    <xf numFmtId="0" fontId="22" fillId="18" borderId="2" applyAlignment="1" pivotButton="0" quotePrefix="0" xfId="0">
      <alignment horizontal="left" vertical="center"/>
    </xf>
    <xf numFmtId="3" fontId="12" fillId="18" borderId="2" applyAlignment="1" pivotButton="0" quotePrefix="0" xfId="0">
      <alignment horizontal="right" vertical="center"/>
    </xf>
    <xf numFmtId="168" fontId="23" fillId="18" borderId="2" applyAlignment="1" pivotButton="0" quotePrefix="0" xfId="0">
      <alignment horizontal="right" vertical="center"/>
    </xf>
    <xf numFmtId="0" fontId="18" fillId="16" borderId="0" applyAlignment="1" pivotButton="0" quotePrefix="0" xfId="0">
      <alignment horizontal="left" vertical="center" wrapText="1"/>
    </xf>
    <xf numFmtId="0" fontId="0" fillId="16" borderId="0" pivotButton="0" quotePrefix="0" xfId="0"/>
    <xf numFmtId="0" fontId="17" fillId="0" borderId="2" applyAlignment="1" pivotButton="0" quotePrefix="0" xfId="0">
      <alignment horizontal="left" vertical="center"/>
    </xf>
    <xf numFmtId="165" fontId="12" fillId="0" borderId="2" applyAlignment="1" pivotButton="0" quotePrefix="0" xfId="0">
      <alignment horizontal="right" vertical="center"/>
    </xf>
    <xf numFmtId="0" fontId="25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26" fillId="0" borderId="2" applyAlignment="1" pivotButton="0" quotePrefix="0" xfId="0">
      <alignment horizontal="left" vertical="center"/>
    </xf>
    <xf numFmtId="165" fontId="24" fillId="0" borderId="2" applyAlignment="1" pivotButton="0" quotePrefix="0" xfId="0">
      <alignment horizontal="right" vertical="center"/>
    </xf>
    <xf numFmtId="0" fontId="22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19" borderId="0" applyAlignment="1" pivotButton="0" quotePrefix="0" xfId="0">
      <alignment horizontal="left" vertical="top" wrapText="1"/>
    </xf>
    <xf numFmtId="0" fontId="0" fillId="19" borderId="0" pivotButton="0" quotePrefix="0" xfId="0"/>
    <xf numFmtId="0" fontId="27" fillId="0" borderId="0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center" vertical="top"/>
    </xf>
    <xf numFmtId="4" fontId="3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166" fontId="3" fillId="0" borderId="2" applyAlignment="1" pivotButton="0" quotePrefix="0" xfId="0">
      <alignment horizontal="left" vertical="top"/>
    </xf>
    <xf numFmtId="4" fontId="3" fillId="12" borderId="2" applyAlignment="1" pivotButton="0" quotePrefix="0" xfId="0">
      <alignment horizontal="left" vertical="top"/>
    </xf>
    <xf numFmtId="166" fontId="3" fillId="0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6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4" fillId="14" borderId="0" pivotButton="0" quotePrefix="0" xfId="0"/>
    <xf numFmtId="0" fontId="4" fillId="12" borderId="0" pivotButton="0" quotePrefix="0" xfId="0"/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8CBAD"/>
        </patternFill>
      </fill>
    </dxf>
    <dxf>
      <font>
        <b val="1"/>
        <color rgb="007F6000"/>
      </font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Claude</author>
  </authors>
  <commentList>
    <comment ref="G4" authorId="0" shapeId="0">
      <text>
        <t>原本寫法：1000-1025
已轉成數字 1,025，請確認</t>
      </text>
    </comment>
    <comment ref="G7" authorId="0" shapeId="0">
      <text>
        <t>原本寫法：6100-5800
已轉成數字 6,100，請確認</t>
      </text>
    </comment>
    <comment ref="E9" authorId="0" shapeId="0">
      <text>
        <t>原本寫法：147X
已轉成數字 1,470，請確認</t>
      </text>
    </comment>
    <comment ref="E17" authorId="0" shapeId="0">
      <text>
        <t>原本寫法：&lt;125
已轉成數字 125，請確認</t>
      </text>
    </comment>
    <comment ref="G18" authorId="0" shapeId="0">
      <text>
        <t>原本寫法：730-750
已轉成數字 750，請確認</t>
      </text>
    </comment>
    <comment ref="E19" authorId="0" shapeId="0">
      <text>
        <t>原本寫法：26XX
已轉成數字 2,600，請確認</t>
      </text>
    </comment>
    <comment ref="E20" authorId="0" shapeId="0">
      <text>
        <t>原本寫法：21X
已轉成數字 210，請確認</t>
      </text>
    </comment>
    <comment ref="E23" authorId="0" shapeId="0">
      <text>
        <t>原本寫法：&lt;1900
已轉成數字 1,900，請確認</t>
      </text>
    </comment>
    <comment ref="E25" authorId="0" shapeId="0">
      <text>
        <t>原本寫法：12X
已轉成數字 120，請確認</t>
      </text>
    </comment>
    <comment ref="E28" authorId="0" shapeId="0">
      <text>
        <t>原本寫法：195附近
已轉成數字 195，請確認</t>
      </text>
    </comment>
    <comment ref="E30" authorId="0" shapeId="0">
      <text>
        <t>原本寫法：2400-2500
已轉成數字 2,500，請確認</t>
      </text>
    </comment>
    <comment ref="E32" authorId="0" shapeId="0">
      <text>
        <t>原本寫法：&lt;62
已轉成數字 62，請確認</t>
      </text>
    </comment>
    <comment ref="E33" authorId="0" shapeId="0">
      <text>
        <t>原本寫法：&lt;900
已轉成數字 900，請確認</t>
      </text>
    </comment>
    <comment ref="E35" authorId="0" shapeId="0">
      <text>
        <t>原本寫法：&lt;233
已轉成數字 233，請確認</t>
      </text>
    </comment>
    <comment ref="E37" authorId="0" shapeId="0">
      <text>
        <t>原本寫法：&lt;60
已轉成數字 60，請確認</t>
      </text>
    </comment>
    <comment ref="G37" authorId="0" shapeId="0">
      <text>
        <t>原本寫法：56-57
已轉成數字 57，請確認</t>
      </text>
    </comment>
    <comment ref="E39" authorId="0" shapeId="0">
      <text>
        <t>原本寫法：780-800
已轉成數字 800，請確認</t>
      </text>
    </comment>
    <comment ref="E41" authorId="0" shapeId="0">
      <text>
        <t>原本寫法：&lt;5000
已轉成數字 5,000，請確認</t>
      </text>
    </comment>
    <comment ref="G41" authorId="0" shapeId="0">
      <text>
        <t>原本寫法：46XX
已轉成數字 4,600，請確認</t>
      </text>
    </comment>
    <comment ref="E43" authorId="0" shapeId="0">
      <text>
        <t>原本寫法：&lt;1700
已轉成數字 1,700，請確認</t>
      </text>
    </comment>
    <comment ref="G43" authorId="0" shapeId="0">
      <text>
        <t>原本寫法：16XX
已轉成數字 1,600，請確認</t>
      </text>
    </comment>
    <comment ref="E44" authorId="0" shapeId="0">
      <text>
        <t>原本寫法：27X
已轉成數字 270，請確認</t>
      </text>
    </comment>
    <comment ref="G45" authorId="0" shapeId="0">
      <text>
        <t>原本寫法：24XX
已轉成數字 2,400，請確認</t>
      </text>
    </comment>
    <comment ref="E46" authorId="0" shapeId="0">
      <text>
        <t>原本寫法：19X
已轉成數字 190，請確認</t>
      </text>
    </comment>
    <comment ref="H47" authorId="0" shapeId="0">
      <text>
        <t>原本寫法：19X
已轉成數字 190，請確認</t>
      </text>
    </comment>
    <comment ref="J47" authorId="0" shapeId="0">
      <text>
        <t>原本寫法：28X
已轉成數字 280，請確認</t>
      </text>
    </comment>
    <comment ref="E50" authorId="0" shapeId="0">
      <text>
        <t>原本寫法：22000附近
已轉成數字 22,000，請確認</t>
      </text>
    </comment>
    <comment ref="E52" authorId="0" shapeId="0">
      <text>
        <t>原本寫法：215~217
已轉成數字 217，請確認</t>
      </text>
    </comment>
    <comment ref="E53" authorId="0" shapeId="0">
      <text>
        <t>原本寫法：177附近
已轉成數字 177，請確認</t>
      </text>
    </comment>
    <comment ref="G54" authorId="0" shapeId="0">
      <text>
        <t>原本寫法：267-270
已轉成數字 270，請確認</t>
      </text>
    </comment>
    <comment ref="E56" authorId="0" shapeId="0">
      <text>
        <t>原本寫法：170-173
已轉成數字 173，請確認</t>
      </text>
    </comment>
  </commentList>
</comments>
</file>

<file path=xl/tables/table1.xml><?xml version="1.0" encoding="utf-8"?>
<table xmlns="http://schemas.openxmlformats.org/spreadsheetml/2006/main" id="1" name="Watchlist" displayName="Watchlist" ref="A2:P56" headerRowCount="1">
  <autoFilter ref="A2:P56"/>
  <tableColumns count="16">
    <tableColumn id="1" name="分類"/>
    <tableColumn id="2" name="市場"/>
    <tableColumn id="3" name="代號"/>
    <tableColumn id="4" name="名稱">
      <calculatedColumnFormula>IFERROR(INDEX(Profiles[名稱],MATCH(Watchlist[[#This Row],[代號]],Profiles[代號],0)),"請先到公司檔案新增")</calculatedColumnFormula>
    </tableColumn>
    <tableColumn id="5" name="買點1"/>
    <tableColumn id="6" name="買點2"/>
    <tableColumn id="7" name="超級好買點"/>
    <tableColumn id="8" name="TP1"/>
    <tableColumn id="9" name="TP2"/>
    <tableColumn id="10" name="TP3"/>
    <tableColumn id="11" name="TP1 漲幅">
      <calculatedColumnFormula>IF(AND(ISNUMBER(Watchlist[[#This Row],[買點1]]),ISNUMBER(Watchlist[[#This Row],[TP1]])),Watchlist[[#This Row],[TP1]]/Watchlist[[#This Row],[買點1]]-1,"")</calculatedColumnFormula>
    </tableColumn>
    <tableColumn id="12" name="技術面"/>
    <tableColumn id="13" name="把握度"/>
    <tableColumn id="14" name="基本面"/>
    <tableColumn id="15" name="平均分">
      <calculatedColumnFormula>IF(COUNT(Watchlist[[#This Row],[技術面]:[基本面]])=3,AVERAGE(Watchlist[[#This Row],[技術面]:[基本面]]),"")</calculatedColumnFormula>
    </tableColumn>
    <tableColumn id="16" name="備註"/>
  </tableColumns>
  <tableStyleInfo name="TableStyleLight1" showRowStripes="1"/>
</table>
</file>

<file path=xl/tables/table2.xml><?xml version="1.0" encoding="utf-8"?>
<table xmlns="http://schemas.openxmlformats.org/spreadsheetml/2006/main" id="2" name="Profiles" displayName="Profiles" ref="A1:J45" headerRowCount="1">
  <autoFilter ref="A1:J45"/>
  <tableColumns count="10">
    <tableColumn id="1" name="代號"/>
    <tableColumn id="2" name="名稱"/>
    <tableColumn id="3" name="市場"/>
    <tableColumn id="4" name="產業"/>
    <tableColumn id="5" name="股本(億元)"/>
    <tableColumn id="6" name="一句話定位"/>
    <tableColumn id="7" name="主要業務"/>
    <tableColumn id="8" name="AI 題材"/>
    <tableColumn id="9" name="AI 題材說明"/>
    <tableColumn id="10" name="資料日期"/>
  </tableColumns>
  <tableStyleInfo name="TableStyleLight1" showRowStripes="1"/>
</table>
</file>

<file path=xl/tables/table3.xml><?xml version="1.0" encoding="utf-8"?>
<table xmlns="http://schemas.openxmlformats.org/spreadsheetml/2006/main" id="3" name="Review" displayName="Review" ref="A1:D5" headerRowCount="1">
  <autoFilter ref="A1:D5"/>
  <tableColumns count="4">
    <tableColumn id="1" name="日期"/>
    <tableColumn id="2" name="問題"/>
    <tableColumn id="3" name="#"/>
    <tableColumn id="4" name="改進原則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adamsnet.github.io/market-dashboard/union10f.html" TargetMode="External" Id="rId1"/></Relationships>
</file>

<file path=xl/worksheets/sheet1.xml><?xml version="1.0" encoding="utf-8"?>
<worksheet xmlns="http://schemas.openxmlformats.org/spreadsheetml/2006/main">
  <sheetPr>
    <tabColor rgb="00B7790A"/>
    <outlinePr summaryBelow="1" summaryRight="1"/>
    <pageSetUpPr fitToPage="1"/>
  </sheetPr>
  <dimension ref="B2:M27"/>
  <sheetViews>
    <sheetView showGridLines="0" tabSelected="1" zoomScale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3" customWidth="1" min="3" max="3"/>
    <col width="13" customWidth="1" min="4" max="4"/>
    <col width="13" customWidth="1" min="5" max="5"/>
    <col width="3" customWidth="1" min="6" max="6"/>
    <col width="13" customWidth="1" min="7" max="7"/>
    <col width="12" customWidth="1" min="8" max="8"/>
    <col width="10" customWidth="1" min="9" max="9"/>
    <col width="24" customWidth="1" min="10" max="10"/>
    <col width="2" customWidth="1" min="11" max="11"/>
    <col hidden="1" width="8" customWidth="1" min="12" max="12"/>
    <col hidden="1" width="13" customWidth="1" min="13" max="13"/>
  </cols>
  <sheetData>
    <row r="1" ht="10" customHeight="1"/>
    <row r="2" ht="34" customHeight="1">
      <c r="B2" s="34" t="inlineStr">
        <is>
          <t>標的觀察儀表板</t>
        </is>
      </c>
    </row>
    <row r="3">
      <c r="B3" s="35" t="inlineStr">
        <is>
          <t>在下方「選擇個股」的下拉選單挑一檔，公司小檔案、價位和評分會自動帶出來</t>
        </is>
      </c>
    </row>
    <row r="5" ht="20" customHeight="1">
      <c r="B5" s="36" t="inlineStr">
        <is>
          <t>追蹤標的（檔）</t>
        </is>
      </c>
      <c r="C5" s="37" t="n"/>
      <c r="D5" s="36" t="inlineStr">
        <is>
          <t>今日即時（列）</t>
        </is>
      </c>
      <c r="E5" s="37" t="n"/>
      <c r="G5" s="36" t="inlineStr">
        <is>
          <t>平均分 ≥ 9（檔）</t>
        </is>
      </c>
      <c r="H5" s="37" t="n"/>
      <c r="I5" s="36" t="inlineStr">
        <is>
          <t>TP1 漲幅中位數</t>
        </is>
      </c>
      <c r="J5" s="37" t="n"/>
    </row>
    <row r="6" ht="34" customHeight="1">
      <c r="B6" s="38">
        <f>SUMPRODUCT(('標的清單'!$C$3:$C$1000&lt;&gt;"")/COUNTIF('標的清單'!$C$3:$C$1000,'標的清單'!$C$3:$C$1000&amp;""))</f>
        <v>44</v>
      </c>
      <c r="C6" s="37" t="n"/>
      <c r="D6" s="38">
        <f>COUNTIF('標的清單'!$A$3:$A$1000,"今日即時")</f>
        <v>10</v>
      </c>
      <c r="E6" s="37" t="n"/>
      <c r="G6" s="38">
        <f>COUNTIF('標的清單'!$O$3:$O$1000,"&gt;=9")</f>
        <v>3</v>
      </c>
      <c r="H6" s="37" t="n"/>
      <c r="I6" s="39">
        <f>MEDIAN('標的清單'!$K$3:$K$1000)</f>
        <v>0.295833333333333</v>
      </c>
      <c r="J6" s="37" t="n"/>
    </row>
    <row r="8" ht="28" customHeight="1">
      <c r="B8" s="40" t="inlineStr">
        <is>
          <t>選擇個股 ▸</t>
        </is>
      </c>
      <c r="C8" s="41" t="inlineStr">
        <is>
          <t>3037</t>
        </is>
      </c>
      <c r="D8" s="42" t="n"/>
      <c r="E8" s="43" t="str">
        <f>IF($L$8=0,"",IF(COUNTIF('標的清單'!$C$3:$C$1000,$C$8)&gt;1,"⚠ 這檔有 "&amp;COUNTIF('標的清單'!$C$3:$C$1000,$C$8)&amp;" 組價位，下面顯示第 1 組",""))</f>
        <v/>
      </c>
      <c r="L8">
        <f>IFERROR(MATCH($C$8,'標的清單'!$C$1:$C$1000,0),0)</f>
        <v>4</v>
      </c>
      <c r="M8">
        <f>IFERROR(MATCH($C$8,'公司檔案'!$A$1:$A$1000,0),0)</f>
        <v>3</v>
      </c>
    </row>
    <row r="10" ht="22" customHeight="1">
      <c r="B10" s="44" t="inlineStr">
        <is>
          <t>公司小檔案</t>
        </is>
      </c>
      <c r="C10" s="2" t="n"/>
      <c r="D10" s="2" t="n"/>
      <c r="E10" s="2" t="n"/>
      <c r="G10" s="44" t="inlineStr">
        <is>
          <t>我的買點與目標價</t>
        </is>
      </c>
      <c r="H10" s="2" t="n"/>
      <c r="I10" s="2" t="n"/>
      <c r="J10" s="2" t="n"/>
    </row>
    <row r="11" ht="38" customHeight="1">
      <c r="B11" s="45" t="str">
        <f>IF($M$8=0,"（公司檔案裡沒有這檔）",IF($M$8=0,"",IF(INDEX('公司檔案'!$B$1:$B$1000,$M$8)="","",INDEX('公司檔案'!$B$1:$B$1000,$M$8))))</f>
        <v>欣興</v>
      </c>
      <c r="G11" s="46" t="inlineStr">
        <is>
          <t>項目</t>
        </is>
      </c>
      <c r="H11" s="47" t="inlineStr">
        <is>
          <t>價位</t>
        </is>
      </c>
      <c r="I11" s="47" t="inlineStr">
        <is>
          <t>距買點1</t>
        </is>
      </c>
      <c r="J11" s="46" t="inlineStr"/>
    </row>
    <row r="12" ht="22" customHeight="1">
      <c r="B12" s="48" t="str">
        <f>IF($M$8=0,"",$C$8&amp;"  ·  "&amp;IF($M$8=0,"",IF(INDEX('公司檔案'!$C$1:$C$1000,$M$8)="","",INDEX('公司檔案'!$C$1:$C$1000,$M$8)))&amp;"  ·  "&amp;IF($M$8=0,"",IF(INDEX('公司檔案'!$D$1:$D$1000,$M$8)="","",INDEX('公司檔案'!$D$1:$D$1000,$M$8)))&amp;IF(IF($L$8=0,"",IF(INDEX('標的清單'!$A$1:$A$1000,$L$8)="","",INDEX('標的清單'!$A$1:$A$1000,$L$8)))="","","  ·  "&amp;IF($L$8=0,"",IF(INDEX('標的清單'!$A$1:$A$1000,$L$8)="","",INDEX('標的清單'!$A$1:$A$1000,$L$8)))))</f>
        <v>3037  ·  台股  ·  PCB／IC 載板  ·  今日即時</v>
      </c>
      <c r="G12" s="49" t="inlineStr">
        <is>
          <t>TP3</t>
        </is>
      </c>
      <c r="H12" s="50" t="str">
        <f>IF($L$8=0,"",IF(INDEX('標的清單'!$J$1:$J$1000,$L$8)="","",INDEX('標的清單'!$J$1:$J$1000,$L$8)))</f>
        <v/>
      </c>
      <c r="I12" s="51" t="str">
        <f>IF(OR(H12="",$H$15=""),"",H12/$H$15-1)</f>
        <v/>
      </c>
      <c r="J12" s="52" t="str">
        <f>IF(I12="","",REPT("▮",MIN(18,ROUND(ABS(I12)*30,0))))</f>
        <v/>
      </c>
    </row>
    <row r="13" ht="22" customHeight="1">
      <c r="B13" s="53" t="str">
        <f>IF($M$8=0,"",IF(INDEX('公司檔案'!$F$1:$F$1000,$M$8)="","",INDEX('公司檔案'!$F$1:$F$1000,$M$8)))</f>
        <v>ABF 載板與高階 PCB 龍頭</v>
      </c>
      <c r="G13" s="49" t="inlineStr">
        <is>
          <t>TP2</t>
        </is>
      </c>
      <c r="H13" s="50">
        <f>IF($L$8=0,"",IF(INDEX('標的清單'!$I$1:$I$1000,$L$8)="","",INDEX('標的清單'!$I$1:$I$1000,$L$8)))</f>
        <v>1690</v>
      </c>
      <c r="I13" s="51">
        <f>IF(OR(H13="",$H$15=""),"",H13/$H$15-1)</f>
        <v>0.522522522522523</v>
      </c>
      <c r="J13" s="52" t="str">
        <f>IF(I13="","",REPT("▮",MIN(18,ROUND(ABS(I13)*30,0))))</f>
        <v>▮▮▮▮▮▮▮▮▮▮▮▮▮▮▮▮</v>
      </c>
    </row>
    <row r="14" ht="22" customHeight="1">
      <c r="B14" s="54" t="inlineStr">
        <is>
          <t>股本</t>
        </is>
      </c>
      <c r="C14" s="40" t="str">
        <f>IF(IF($M$8=0,"",IF(INDEX('公司檔案'!$E$1:$E$1000,$M$8)="","",INDEX('公司檔案'!$E$1:$E$1000,$M$8)))="",IF($M$8=0,"","待補"),TEXT(IF($M$8=0,"",IF(INDEX('公司檔案'!$E$1:$E$1000,$M$8)="","",INDEX('公司檔案'!$E$1:$E$1000,$M$8))),"#,##0.00")&amp;" 億元（約 "&amp;TEXT(IF($M$8=0,"",IF(INDEX('公司檔案'!$E$1:$E$1000,$M$8)="","",INDEX('公司檔案'!$E$1:$E$1000,$M$8)))*1000,"#,##0")&amp;" 萬股）")</f>
        <v>164.13 億元（約 164,130 萬股）</v>
      </c>
      <c r="G14" s="49" t="inlineStr">
        <is>
          <t>TP1</t>
        </is>
      </c>
      <c r="H14" s="50">
        <f>IF($L$8=0,"",IF(INDEX('標的清單'!$H$1:$H$1000,$L$8)="","",INDEX('標的清單'!$H$1:$H$1000,$L$8)))</f>
        <v>1450</v>
      </c>
      <c r="I14" s="51">
        <f>IF(OR(H14="",$H$15=""),"",H14/$H$15-1)</f>
        <v>0.306306306306306</v>
      </c>
      <c r="J14" s="52" t="str">
        <f>IF(I14="","",REPT("▮",MIN(18,ROUND(ABS(I14)*30,0))))</f>
        <v>▮▮▮▮▮▮▮▮▮</v>
      </c>
    </row>
    <row r="15" ht="22" customHeight="1">
      <c r="B15" s="54" t="inlineStr">
        <is>
          <t>主要業務</t>
        </is>
      </c>
      <c r="C15" s="55" t="str">
        <f>IF($M$8=0,"",IF(INDEX('公司檔案'!$G$1:$G$1000,$M$8)="","",INDEX('公司檔案'!$G$1:$G$1000,$M$8)))</f>
        <v>全球主要的 IC 載板（ABF、BT）與 HDI、軟硬板廠，客戶涵蓋 CPU、GPU 與網通晶片大廠。</v>
      </c>
      <c r="G15" s="56" t="inlineStr">
        <is>
          <t>買點1</t>
        </is>
      </c>
      <c r="H15" s="57">
        <f>IF($L$8=0,"",IF(INDEX('標的清單'!$E$1:$E$1000,$L$8)="","",INDEX('標的清單'!$E$1:$E$1000,$L$8)))</f>
        <v>1110</v>
      </c>
      <c r="I15" s="58" t="n"/>
      <c r="J15" s="59" t="str">
        <f>IF(H15="","","◆ 基準")</f>
        <v>◆ 基準</v>
      </c>
    </row>
    <row r="16" ht="22" customHeight="1">
      <c r="G16" s="56" t="inlineStr">
        <is>
          <t>買點2</t>
        </is>
      </c>
      <c r="H16" s="60" t="str">
        <f>IF($L$8=0,"",IF(INDEX('標的清單'!$F$1:$F$1000,$L$8)="","",INDEX('標的清單'!$F$1:$F$1000,$L$8)))</f>
        <v/>
      </c>
      <c r="I16" s="61" t="str">
        <f>IF(OR(H16="",$H$15=""),"",H16/$H$15-1)</f>
        <v/>
      </c>
      <c r="J16" s="59" t="str">
        <f>IF(I16="","",REPT("▮",MIN(18,ROUND(ABS(I16)*30,0))))</f>
        <v/>
      </c>
    </row>
    <row r="17" ht="22" customHeight="1">
      <c r="G17" s="56" t="inlineStr">
        <is>
          <t>超級好買點</t>
        </is>
      </c>
      <c r="H17" s="60">
        <f>IF($L$8=0,"",IF(INDEX('標的清單'!$G$1:$G$1000,$L$8)="","",INDEX('標的清單'!$G$1:$G$1000,$L$8)))</f>
        <v>1025</v>
      </c>
      <c r="I17" s="61">
        <f>IF(OR(H17="",$H$15=""),"",H17/$H$15-1)</f>
        <v>-0.0765765765765766</v>
      </c>
      <c r="J17" s="59" t="str">
        <f>IF(I17="","",REPT("▮",MIN(18,ROUND(ABS(I17)*30,0))))</f>
        <v>▮▮</v>
      </c>
    </row>
    <row r="18" ht="21" customHeight="1"/>
    <row r="19" ht="24" customHeight="1">
      <c r="B19" s="54" t="inlineStr">
        <is>
          <t>AI 題材</t>
        </is>
      </c>
      <c r="C19" s="62" t="str">
        <f>IF($M$8=0,"",IF(INDEX('公司檔案'!$H$1:$H$1000,$M$8)="","",INDEX('公司檔案'!$H$1:$H$1000,$M$8)))</f>
        <v>ABF 載板、AI GPU、ASIC</v>
      </c>
      <c r="D19" s="63" t="n"/>
      <c r="E19" s="63" t="n"/>
      <c r="G19" s="44" t="inlineStr">
        <is>
          <t>評分</t>
        </is>
      </c>
      <c r="H19" s="2" t="n"/>
      <c r="I19" s="2" t="n"/>
      <c r="J19" s="2" t="n"/>
    </row>
    <row r="20" ht="21" customHeight="1">
      <c r="B20" s="54" t="inlineStr">
        <is>
          <t>題材說明</t>
        </is>
      </c>
      <c r="C20" s="55" t="str">
        <f>IF($M$8=0,"",IF(INDEX('公司檔案'!$I$1:$I$1000,$M$8)="","",INDEX('公司檔案'!$I$1:$I$1000,$M$8)))</f>
        <v>AI 加速器晶片面積大、層數高，帶動高階 ABF 載板用量與單價，是 AI 伺服器上游的關鍵材料供應鏈。</v>
      </c>
      <c r="G20" s="64" t="inlineStr">
        <is>
          <t>技術面</t>
        </is>
      </c>
      <c r="H20" s="65">
        <f>IF($L$8=0,"",IF(INDEX('標的清單'!$L$1:$L$1000,$L$8)="","",INDEX('標的清單'!$L$1:$L$1000,$L$8)))</f>
        <v>9</v>
      </c>
      <c r="I20" s="66" t="str">
        <f>IF(H20="","",REPT("■",ROUND(H20,0))&amp;REPT("□",10-ROUND(H20,0)))</f>
        <v>■■■■■■■■■□</v>
      </c>
      <c r="J20" s="67" t="n"/>
    </row>
    <row r="21" ht="21" customHeight="1">
      <c r="G21" s="64" t="inlineStr">
        <is>
          <t>把握度</t>
        </is>
      </c>
      <c r="H21" s="65">
        <f>IF($L$8=0,"",IF(INDEX('標的清單'!$M$1:$M$1000,$L$8)="","",INDEX('標的清單'!$M$1:$M$1000,$L$8)))</f>
        <v>9</v>
      </c>
      <c r="I21" s="66" t="str">
        <f>IF(H21="","",REPT("■",ROUND(H21,0))&amp;REPT("□",10-ROUND(H21,0)))</f>
        <v>■■■■■■■■■□</v>
      </c>
      <c r="J21" s="67" t="n"/>
    </row>
    <row r="22" ht="21" customHeight="1">
      <c r="G22" s="64" t="inlineStr">
        <is>
          <t>基本面</t>
        </is>
      </c>
      <c r="H22" s="65">
        <f>IF($L$8=0,"",IF(INDEX('標的清單'!$N$1:$N$1000,$L$8)="","",INDEX('標的清單'!$N$1:$N$1000,$L$8)))</f>
        <v>10</v>
      </c>
      <c r="I22" s="66" t="str">
        <f>IF(H22="","",REPT("■",ROUND(H22,0))&amp;REPT("□",10-ROUND(H22,0)))</f>
        <v>■■■■■■■■■■</v>
      </c>
      <c r="J22" s="67" t="n"/>
    </row>
    <row r="23" ht="21" customHeight="1">
      <c r="G23" s="68" t="inlineStr">
        <is>
          <t>平均分</t>
        </is>
      </c>
      <c r="H23" s="69">
        <f>IF($L$8=0,"",IF(INDEX('標的清單'!$O$1:$O$1000,$L$8)="","",INDEX('標的清單'!$O$1:$O$1000,$L$8)))</f>
        <v>9.33333333333333</v>
      </c>
      <c r="I23" s="70" t="str">
        <f>IF(H23="","",REPT("■",ROUND(H23,0))&amp;REPT("□",10-ROUND(H23,0)))</f>
        <v>■■■■■■■■■□</v>
      </c>
      <c r="J23" s="67" t="n"/>
    </row>
    <row r="24">
      <c r="B24" s="54" t="inlineStr">
        <is>
          <t>連結</t>
        </is>
      </c>
      <c r="C24" s="71" t="str">
        <f>IF($M$8=0,"",IF(IF($M$8=0,"",IF(INDEX('公司檔案'!$C$1:$C$1000,$M$8)="","",INDEX('公司檔案'!$C$1:$C$1000,$M$8)))="台股",HYPERLINK("https://tw.stock.yahoo.com/quote/"&amp;$C$8&amp;"/profile","Yahoo 公司資料 ↗"),HYPERLINK("https://finance.yahoo.com/quote/"&amp;$C$8&amp;IF(IF($M$8=0,"",IF(INDEX('公司檔案'!$C$1:$C$1000,$M$8)="","",INDEX('公司檔案'!$C$1:$C$1000,$M$8)))="日股",".T","")&amp;"/profile","Yahoo Finance ↗")))</f>
        <v>Yahoo 公司資料 ↗</v>
      </c>
      <c r="G24" s="54" t="inlineStr">
        <is>
          <t>備註</t>
        </is>
      </c>
      <c r="H24" s="72" t="str">
        <f>IF($L$8=0,"",IF(INDEX('標的清單'!$P$1:$P$1000,$L$8)="","",INDEX('標的清單'!$P$1:$P$1000,$L$8)))</f>
        <v/>
      </c>
      <c r="I24" s="73" t="n"/>
      <c r="J24" s="73" t="n"/>
    </row>
    <row r="25" ht="21" customHeight="1">
      <c r="H25" s="73" t="n"/>
      <c r="I25" s="73" t="n"/>
      <c r="J25" s="73" t="n"/>
    </row>
    <row r="27">
      <c r="B27" s="74" t="inlineStr">
        <is>
          <t>公司檔案的股本與主要業務來自 Yahoo 奇摩股市公司資料（2026/10/07 查詢）；AI 題材為公開資訊整理，僅供研究參考。</t>
        </is>
      </c>
    </row>
  </sheetData>
  <mergeCells count="27">
    <mergeCell ref="I6:J6"/>
    <mergeCell ref="H24:J25"/>
    <mergeCell ref="D6:E6"/>
    <mergeCell ref="C15:E18"/>
    <mergeCell ref="G6:H6"/>
    <mergeCell ref="I22:J22"/>
    <mergeCell ref="C20:E23"/>
    <mergeCell ref="I21:J21"/>
    <mergeCell ref="C19:E19"/>
    <mergeCell ref="B12:E12"/>
    <mergeCell ref="G5:H5"/>
    <mergeCell ref="I5:J5"/>
    <mergeCell ref="B11:E11"/>
    <mergeCell ref="I23:J23"/>
    <mergeCell ref="G19:J19"/>
    <mergeCell ref="C8:D8"/>
    <mergeCell ref="G10:J10"/>
    <mergeCell ref="C24:E24"/>
    <mergeCell ref="B6:C6"/>
    <mergeCell ref="C14:E14"/>
    <mergeCell ref="I20:J20"/>
    <mergeCell ref="B5:C5"/>
    <mergeCell ref="B13:E13"/>
    <mergeCell ref="D5:E5"/>
    <mergeCell ref="E8:J8"/>
    <mergeCell ref="B27:J27"/>
    <mergeCell ref="B10:E10"/>
  </mergeCells>
  <dataValidations count="1">
    <dataValidation sqref="C8" showDropDown="0" showInputMessage="0" showErrorMessage="1" allowBlank="0" errorTitle="找不到這檔" error="請從清單選，或先到「公司檔案」新增這檔" type="list">
      <formula1>=個股清單</formula1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56"/>
  <sheetViews>
    <sheetView showGridLines="0" tabSelected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13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9" customWidth="1" min="11" max="11"/>
    <col width="8" customWidth="1" min="12" max="12"/>
    <col width="8" customWidth="1" min="13" max="13"/>
    <col width="8" customWidth="1" min="14" max="14"/>
    <col width="8" customWidth="1" min="15" max="15"/>
    <col width="30" customWidth="1" min="16" max="16"/>
  </cols>
  <sheetData>
    <row r="1" ht="20" customHeight="1">
      <c r="A1" s="9" t="inlineStr">
        <is>
          <t>基本資料</t>
        </is>
      </c>
      <c r="E1" s="11" t="inlineStr">
        <is>
          <t>買點</t>
        </is>
      </c>
      <c r="H1" s="13" t="inlineStr">
        <is>
          <t>目標價</t>
        </is>
      </c>
      <c r="L1" s="15" t="inlineStr">
        <is>
          <t>評分 (0–10)</t>
        </is>
      </c>
      <c r="P1" s="17" t="inlineStr">
        <is>
          <t>備註</t>
        </is>
      </c>
    </row>
    <row r="2" ht="24" customHeight="1">
      <c r="A2" s="18" t="inlineStr">
        <is>
          <t>分類</t>
        </is>
      </c>
      <c r="B2" s="18" t="inlineStr">
        <is>
          <t>市場</t>
        </is>
      </c>
      <c r="C2" s="18" t="inlineStr">
        <is>
          <t>代號</t>
        </is>
      </c>
      <c r="D2" s="18" t="inlineStr">
        <is>
          <t>名稱</t>
        </is>
      </c>
      <c r="E2" s="19" t="inlineStr">
        <is>
          <t>買點1</t>
        </is>
      </c>
      <c r="F2" s="19" t="inlineStr">
        <is>
          <t>買點2</t>
        </is>
      </c>
      <c r="G2" s="19" t="inlineStr">
        <is>
          <t>超級好買點</t>
        </is>
      </c>
      <c r="H2" s="20" t="inlineStr">
        <is>
          <t>TP1</t>
        </is>
      </c>
      <c r="I2" s="20" t="inlineStr">
        <is>
          <t>TP2</t>
        </is>
      </c>
      <c r="J2" s="20" t="inlineStr">
        <is>
          <t>TP3</t>
        </is>
      </c>
      <c r="K2" s="20" t="inlineStr">
        <is>
          <t>TP1 漲幅</t>
        </is>
      </c>
      <c r="L2" s="21" t="inlineStr">
        <is>
          <t>技術面</t>
        </is>
      </c>
      <c r="M2" s="21" t="inlineStr">
        <is>
          <t>把握度</t>
        </is>
      </c>
      <c r="N2" s="21" t="inlineStr">
        <is>
          <t>基本面</t>
        </is>
      </c>
      <c r="O2" s="21" t="inlineStr">
        <is>
          <t>平均分</t>
        </is>
      </c>
      <c r="P2" s="22" t="inlineStr">
        <is>
          <t>備註</t>
        </is>
      </c>
    </row>
    <row r="3" ht="19" customHeight="1">
      <c r="A3" s="23" t="inlineStr">
        <is>
          <t>今日即時</t>
        </is>
      </c>
      <c r="B3" s="23" t="inlineStr">
        <is>
          <t>台股</t>
        </is>
      </c>
      <c r="C3" s="75" t="inlineStr">
        <is>
          <t>6147</t>
        </is>
      </c>
      <c r="D3" s="76" t="str">
        <f>IFERROR(INDEX('公司檔案'!$B:$B,MATCH(C3,'公司檔案'!$A:$A,0)),"請先到公司檔案新增")</f>
        <v>頎邦</v>
      </c>
      <c r="E3" s="25" t="n">
        <v>210</v>
      </c>
      <c r="F3" s="25" t="n"/>
      <c r="G3" s="25" t="n">
        <v>200</v>
      </c>
      <c r="H3" s="25" t="n">
        <v>274</v>
      </c>
      <c r="I3" s="25" t="n">
        <v>310</v>
      </c>
      <c r="J3" s="25" t="n">
        <v>380</v>
      </c>
      <c r="K3" s="26">
        <f>IF(AND(ISNUMBER(E3),ISNUMBER(H3)),H3/E3-1,"")</f>
        <v>0.304761904761905</v>
      </c>
      <c r="L3" s="27" t="n">
        <v>8.800000000000001</v>
      </c>
      <c r="M3" s="27" t="n">
        <v>9</v>
      </c>
      <c r="N3" s="27" t="n">
        <v>10</v>
      </c>
      <c r="O3" s="28">
        <f>IF(COUNT(L3:N3)=3,AVERAGE(L3:N3),"")</f>
        <v>9.26666666666667</v>
      </c>
      <c r="P3" s="29" t="n"/>
    </row>
    <row r="4" ht="19" customHeight="1">
      <c r="A4" s="23" t="inlineStr">
        <is>
          <t>今日即時</t>
        </is>
      </c>
      <c r="B4" s="23" t="inlineStr">
        <is>
          <t>台股</t>
        </is>
      </c>
      <c r="C4" s="75" t="inlineStr">
        <is>
          <t>3037</t>
        </is>
      </c>
      <c r="D4" s="76" t="str">
        <f>IFERROR(INDEX('公司檔案'!$B:$B,MATCH(C4,'公司檔案'!$A:$A,0)),"請先到公司檔案新增")</f>
        <v>欣興</v>
      </c>
      <c r="E4" s="25" t="n">
        <v>1110</v>
      </c>
      <c r="F4" s="25" t="n"/>
      <c r="G4" s="30" t="n">
        <v>1025</v>
      </c>
      <c r="H4" s="25" t="n">
        <v>1450</v>
      </c>
      <c r="I4" s="25" t="n">
        <v>1690</v>
      </c>
      <c r="J4" s="25" t="n"/>
      <c r="K4" s="26">
        <f>IF(AND(ISNUMBER(E4),ISNUMBER(H4)),H4/E4-1,"")</f>
        <v>0.306306306306306</v>
      </c>
      <c r="L4" s="27" t="n">
        <v>9</v>
      </c>
      <c r="M4" s="27" t="n">
        <v>9</v>
      </c>
      <c r="N4" s="27" t="n">
        <v>10</v>
      </c>
      <c r="O4" s="28">
        <f>IF(COUNT(L4:N4)=3,AVERAGE(L4:N4),"")</f>
        <v>9.33333333333333</v>
      </c>
      <c r="P4" s="29" t="n"/>
    </row>
    <row r="5" ht="19" customHeight="1">
      <c r="A5" s="23" t="inlineStr">
        <is>
          <t>今日即時</t>
        </is>
      </c>
      <c r="B5" s="23" t="inlineStr">
        <is>
          <t>台股</t>
        </is>
      </c>
      <c r="C5" s="75" t="inlineStr">
        <is>
          <t>2344</t>
        </is>
      </c>
      <c r="D5" s="76" t="str">
        <f>IFERROR(INDEX('公司檔案'!$B:$B,MATCH(C5,'公司檔案'!$A:$A,0)),"請先到公司檔案新增")</f>
        <v>華邦電</v>
      </c>
      <c r="E5" s="25" t="n">
        <v>175</v>
      </c>
      <c r="F5" s="25" t="n">
        <v>158</v>
      </c>
      <c r="G5" s="25" t="n">
        <v>140</v>
      </c>
      <c r="H5" s="25" t="n">
        <v>230</v>
      </c>
      <c r="I5" s="25" t="n">
        <v>278</v>
      </c>
      <c r="J5" s="25" t="n">
        <v>300</v>
      </c>
      <c r="K5" s="26">
        <f>IF(AND(ISNUMBER(E5),ISNUMBER(H5)),H5/E5-1,"")</f>
        <v>0.314285714285714</v>
      </c>
      <c r="L5" s="27" t="n">
        <v>9</v>
      </c>
      <c r="M5" s="27" t="n"/>
      <c r="N5" s="27" t="n"/>
      <c r="O5" s="28" t="str">
        <f>IF(COUNT(L5:N5)=3,AVERAGE(L5:N5),"")</f>
        <v/>
      </c>
      <c r="P5" s="29" t="n"/>
    </row>
    <row r="6" ht="19" customHeight="1">
      <c r="A6" s="23" t="inlineStr">
        <is>
          <t>今日即時</t>
        </is>
      </c>
      <c r="B6" s="23" t="inlineStr">
        <is>
          <t>台股</t>
        </is>
      </c>
      <c r="C6" s="75" t="inlineStr">
        <is>
          <t>6531</t>
        </is>
      </c>
      <c r="D6" s="76" t="str">
        <f>IFERROR(INDEX('公司檔案'!$B:$B,MATCH(C6,'公司檔案'!$A:$A,0)),"請先到公司檔案新增")</f>
        <v>愛普</v>
      </c>
      <c r="E6" s="25" t="n">
        <v>940</v>
      </c>
      <c r="F6" s="25" t="n"/>
      <c r="G6" s="25" t="n">
        <v>880</v>
      </c>
      <c r="H6" s="25" t="n">
        <v>1300</v>
      </c>
      <c r="I6" s="25" t="n">
        <v>1650</v>
      </c>
      <c r="J6" s="25" t="n">
        <v>1950</v>
      </c>
      <c r="K6" s="26">
        <f>IF(AND(ISNUMBER(E6),ISNUMBER(H6)),H6/E6-1,"")</f>
        <v>0.382978723404255</v>
      </c>
      <c r="L6" s="27" t="n">
        <v>9.1</v>
      </c>
      <c r="M6" s="27" t="n">
        <v>7</v>
      </c>
      <c r="N6" s="27" t="n">
        <v>10</v>
      </c>
      <c r="O6" s="28">
        <f>IF(COUNT(L6:N6)=3,AVERAGE(L6:N6),"")</f>
        <v>8.7</v>
      </c>
      <c r="P6" s="29" t="n"/>
    </row>
    <row r="7" ht="19" customHeight="1">
      <c r="A7" s="23" t="inlineStr">
        <is>
          <t>今日即時</t>
        </is>
      </c>
      <c r="B7" s="23" t="inlineStr">
        <is>
          <t>台股</t>
        </is>
      </c>
      <c r="C7" s="75" t="inlineStr">
        <is>
          <t>3653</t>
        </is>
      </c>
      <c r="D7" s="76" t="str">
        <f>IFERROR(INDEX('公司檔案'!$B:$B,MATCH(C7,'公司檔案'!$A:$A,0)),"請先到公司檔案新增")</f>
        <v>健策</v>
      </c>
      <c r="E7" s="25" t="n">
        <v>6700</v>
      </c>
      <c r="F7" s="25" t="n">
        <v>6500</v>
      </c>
      <c r="G7" s="30" t="n">
        <v>6100</v>
      </c>
      <c r="H7" s="25" t="n">
        <v>8300</v>
      </c>
      <c r="I7" s="25" t="n">
        <v>10000</v>
      </c>
      <c r="J7" s="25" t="n"/>
      <c r="K7" s="26">
        <f>IF(AND(ISNUMBER(E7),ISNUMBER(H7)),H7/E7-1,"")</f>
        <v>0.238805970149254</v>
      </c>
      <c r="L7" s="27" t="n">
        <v>8.9</v>
      </c>
      <c r="M7" s="27" t="n"/>
      <c r="N7" s="27" t="n"/>
      <c r="O7" s="28" t="str">
        <f>IF(COUNT(L7:N7)=3,AVERAGE(L7:N7),"")</f>
        <v/>
      </c>
      <c r="P7" s="29" t="n"/>
    </row>
    <row r="8" ht="19" customHeight="1">
      <c r="A8" s="23" t="inlineStr">
        <is>
          <t>今日即時</t>
        </is>
      </c>
      <c r="B8" s="23" t="inlineStr">
        <is>
          <t>台股</t>
        </is>
      </c>
      <c r="C8" s="75" t="inlineStr">
        <is>
          <t>3665</t>
        </is>
      </c>
      <c r="D8" s="76" t="str">
        <f>IFERROR(INDEX('公司檔案'!$B:$B,MATCH(C8,'公司檔案'!$A:$A,0)),"請先到公司檔案新增")</f>
        <v>貿聯-KY</v>
      </c>
      <c r="E8" s="25" t="n">
        <v>2250</v>
      </c>
      <c r="F8" s="25" t="n"/>
      <c r="G8" s="25" t="n">
        <v>2150</v>
      </c>
      <c r="H8" s="25" t="n">
        <v>2900</v>
      </c>
      <c r="I8" s="25" t="n">
        <v>3600</v>
      </c>
      <c r="J8" s="25" t="n"/>
      <c r="K8" s="26">
        <f>IF(AND(ISNUMBER(E8),ISNUMBER(H8)),H8/E8-1,"")</f>
        <v>0.288888888888889</v>
      </c>
      <c r="L8" s="27" t="n">
        <v>8.9</v>
      </c>
      <c r="M8" s="27" t="n">
        <v>7.5</v>
      </c>
      <c r="N8" s="27" t="n">
        <v>9.5</v>
      </c>
      <c r="O8" s="28">
        <f>IF(COUNT(L8:N8)=3,AVERAGE(L8:N8),"")</f>
        <v>8.63333333333333</v>
      </c>
      <c r="P8" s="29" t="n"/>
    </row>
    <row r="9" ht="19" customHeight="1">
      <c r="A9" s="23" t="inlineStr">
        <is>
          <t>今日即時</t>
        </is>
      </c>
      <c r="B9" s="23" t="inlineStr">
        <is>
          <t>台股</t>
        </is>
      </c>
      <c r="C9" s="75" t="inlineStr">
        <is>
          <t>3595</t>
        </is>
      </c>
      <c r="D9" s="76" t="str">
        <f>IFERROR(INDEX('公司檔案'!$B:$B,MATCH(C9,'公司檔案'!$A:$A,0)),"請先到公司檔案新增")</f>
        <v>山太士</v>
      </c>
      <c r="E9" s="30" t="n">
        <v>1470</v>
      </c>
      <c r="F9" s="25" t="n"/>
      <c r="G9" s="25" t="n">
        <v>1250</v>
      </c>
      <c r="H9" s="25" t="n">
        <v>2200</v>
      </c>
      <c r="I9" s="25" t="n">
        <v>3000</v>
      </c>
      <c r="J9" s="25" t="n">
        <v>3700</v>
      </c>
      <c r="K9" s="26">
        <f>IF(AND(ISNUMBER(E9),ISNUMBER(H9)),H9/E9-1,"")</f>
        <v>0.496598639455782</v>
      </c>
      <c r="L9" s="27" t="n">
        <v>8.699999999999999</v>
      </c>
      <c r="M9" s="27" t="n"/>
      <c r="N9" s="27" t="n"/>
      <c r="O9" s="28" t="str">
        <f>IF(COUNT(L9:N9)=3,AVERAGE(L9:N9),"")</f>
        <v/>
      </c>
      <c r="P9" s="29" t="n"/>
    </row>
    <row r="10" ht="19" customHeight="1">
      <c r="A10" s="23" t="inlineStr">
        <is>
          <t>今日即時</t>
        </is>
      </c>
      <c r="B10" s="23" t="inlineStr">
        <is>
          <t>台股</t>
        </is>
      </c>
      <c r="C10" s="75" t="inlineStr">
        <is>
          <t>3081</t>
        </is>
      </c>
      <c r="D10" s="76" t="str">
        <f>IFERROR(INDEX('公司檔案'!$B:$B,MATCH(C10,'公司檔案'!$A:$A,0)),"請先到公司檔案新增")</f>
        <v>聯亞</v>
      </c>
      <c r="E10" s="25" t="n">
        <v>3000</v>
      </c>
      <c r="F10" s="25" t="n">
        <v>2900</v>
      </c>
      <c r="G10" s="25" t="n">
        <v>2700</v>
      </c>
      <c r="H10" s="25" t="n">
        <v>3550</v>
      </c>
      <c r="I10" s="25" t="n">
        <v>4300</v>
      </c>
      <c r="J10" s="25" t="n">
        <v>5100</v>
      </c>
      <c r="K10" s="26">
        <f>IF(AND(ISNUMBER(E10),ISNUMBER(H10)),H10/E10-1,"")</f>
        <v>0.183333333333333</v>
      </c>
      <c r="L10" s="27" t="n">
        <v>9</v>
      </c>
      <c r="M10" s="27" t="n"/>
      <c r="N10" s="27" t="n"/>
      <c r="O10" s="28" t="str">
        <f>IF(COUNT(L10:N10)=3,AVERAGE(L10:N10),"")</f>
        <v/>
      </c>
      <c r="P10" s="29" t="n"/>
    </row>
    <row r="11" ht="19" customHeight="1">
      <c r="A11" s="23" t="inlineStr">
        <is>
          <t>今日即時</t>
        </is>
      </c>
      <c r="B11" s="23" t="inlineStr">
        <is>
          <t>台股</t>
        </is>
      </c>
      <c r="C11" s="75" t="inlineStr">
        <is>
          <t>2327</t>
        </is>
      </c>
      <c r="D11" s="76" t="str">
        <f>IFERROR(INDEX('公司檔案'!$B:$B,MATCH(C11,'公司檔案'!$A:$A,0)),"請先到公司檔案新增")</f>
        <v>國巨</v>
      </c>
      <c r="E11" s="25" t="n">
        <v>600</v>
      </c>
      <c r="F11" s="25" t="n">
        <v>580</v>
      </c>
      <c r="G11" s="25" t="n">
        <v>530</v>
      </c>
      <c r="H11" s="25" t="n">
        <v>730</v>
      </c>
      <c r="I11" s="25" t="n">
        <v>860</v>
      </c>
      <c r="J11" s="25" t="n"/>
      <c r="K11" s="26">
        <f>IF(AND(ISNUMBER(E11),ISNUMBER(H11)),H11/E11-1,"")</f>
        <v>0.216666666666667</v>
      </c>
      <c r="L11" s="27" t="n">
        <v>8.9</v>
      </c>
      <c r="M11" s="27" t="n"/>
      <c r="N11" s="27" t="n"/>
      <c r="O11" s="28" t="str">
        <f>IF(COUNT(L11:N11)=3,AVERAGE(L11:N11),"")</f>
        <v/>
      </c>
      <c r="P11" s="29" t="n"/>
    </row>
    <row r="12" ht="19" customHeight="1">
      <c r="A12" s="23" t="inlineStr">
        <is>
          <t>今日即時</t>
        </is>
      </c>
      <c r="B12" s="23" t="inlineStr">
        <is>
          <t>台股</t>
        </is>
      </c>
      <c r="C12" s="75" t="inlineStr">
        <is>
          <t>3533</t>
        </is>
      </c>
      <c r="D12" s="76" t="str">
        <f>IFERROR(INDEX('公司檔案'!$B:$B,MATCH(C12,'公司檔案'!$A:$A,0)),"請先到公司檔案新增")</f>
        <v>嘉澤</v>
      </c>
      <c r="E12" s="25" t="n">
        <v>1850</v>
      </c>
      <c r="F12" s="25" t="n">
        <v>1770</v>
      </c>
      <c r="G12" s="25" t="n">
        <v>1600</v>
      </c>
      <c r="H12" s="25" t="n">
        <v>2600</v>
      </c>
      <c r="I12" s="25" t="n">
        <v>3200</v>
      </c>
      <c r="J12" s="25" t="n">
        <v>4300</v>
      </c>
      <c r="K12" s="26">
        <f>IF(AND(ISNUMBER(E12),ISNUMBER(H12)),H12/E12-1,"")</f>
        <v>0.405405405405406</v>
      </c>
      <c r="L12" s="27" t="n">
        <v>8.6</v>
      </c>
      <c r="M12" s="27" t="n"/>
      <c r="N12" s="27" t="n"/>
      <c r="O12" s="28" t="str">
        <f>IF(COUNT(L12:N12)=3,AVERAGE(L12:N12),"")</f>
        <v/>
      </c>
      <c r="P12" s="29" t="n"/>
    </row>
    <row r="13" ht="19" customHeight="1">
      <c r="A13" s="23" t="inlineStr">
        <is>
          <t>追蹤中</t>
        </is>
      </c>
      <c r="B13" s="23" t="inlineStr">
        <is>
          <t>台股</t>
        </is>
      </c>
      <c r="C13" s="75" t="inlineStr">
        <is>
          <t>6907</t>
        </is>
      </c>
      <c r="D13" s="76" t="str">
        <f>IFERROR(INDEX('公司檔案'!$B:$B,MATCH(C13,'公司檔案'!$A:$A,0)),"請先到公司檔案新增")</f>
        <v>雅特力-KY</v>
      </c>
      <c r="E13" s="25" t="n">
        <v>180</v>
      </c>
      <c r="F13" s="25" t="n"/>
      <c r="G13" s="25" t="n">
        <v>168</v>
      </c>
      <c r="H13" s="25" t="n">
        <v>280</v>
      </c>
      <c r="I13" s="25" t="n">
        <v>400</v>
      </c>
      <c r="J13" s="25" t="n"/>
      <c r="K13" s="26">
        <f>IF(AND(ISNUMBER(E13),ISNUMBER(H13)),H13/E13-1,"")</f>
        <v>0.555555555555556</v>
      </c>
      <c r="L13" s="27" t="n">
        <v>8.800000000000001</v>
      </c>
      <c r="M13" s="27" t="n">
        <v>10</v>
      </c>
      <c r="N13" s="27" t="n">
        <v>8.5</v>
      </c>
      <c r="O13" s="28">
        <f>IF(COUNT(L13:N13)=3,AVERAGE(L13:N13),"")</f>
        <v>9.1</v>
      </c>
      <c r="P13" s="29" t="n"/>
    </row>
    <row r="14" ht="19" customHeight="1">
      <c r="A14" s="23" t="inlineStr">
        <is>
          <t>追蹤中</t>
        </is>
      </c>
      <c r="B14" s="23" t="inlineStr">
        <is>
          <t>台股</t>
        </is>
      </c>
      <c r="C14" s="75" t="inlineStr">
        <is>
          <t>7769</t>
        </is>
      </c>
      <c r="D14" s="76" t="str">
        <f>IFERROR(INDEX('公司檔案'!$B:$B,MATCH(C14,'公司檔案'!$A:$A,0)),"請先到公司檔案新增")</f>
        <v>鴻勁</v>
      </c>
      <c r="E14" s="25" t="n">
        <v>6300</v>
      </c>
      <c r="F14" s="25" t="n">
        <v>6000</v>
      </c>
      <c r="G14" s="25" t="n">
        <v>5700</v>
      </c>
      <c r="H14" s="25" t="n">
        <v>8000</v>
      </c>
      <c r="I14" s="25" t="n">
        <v>9150</v>
      </c>
      <c r="J14" s="25" t="n">
        <v>10050</v>
      </c>
      <c r="K14" s="26">
        <f>IF(AND(ISNUMBER(E14),ISNUMBER(H14)),H14/E14-1,"")</f>
        <v>0.26984126984127</v>
      </c>
      <c r="L14" s="27" t="n">
        <v>8.800000000000001</v>
      </c>
      <c r="M14" s="27" t="n"/>
      <c r="N14" s="27" t="n"/>
      <c r="O14" s="28" t="str">
        <f>IF(COUNT(L14:N14)=3,AVERAGE(L14:N14),"")</f>
        <v/>
      </c>
      <c r="P14" s="29" t="n"/>
    </row>
    <row r="15" ht="19" customHeight="1">
      <c r="A15" s="23" t="inlineStr">
        <is>
          <t>追蹤中</t>
        </is>
      </c>
      <c r="B15" s="23" t="inlineStr">
        <is>
          <t>台股</t>
        </is>
      </c>
      <c r="C15" s="75" t="inlineStr">
        <is>
          <t>6190</t>
        </is>
      </c>
      <c r="D15" s="76" t="str">
        <f>IFERROR(INDEX('公司檔案'!$B:$B,MATCH(C15,'公司檔案'!$A:$A,0)),"請先到公司檔案新增")</f>
        <v>萬泰科</v>
      </c>
      <c r="E15" s="25" t="n">
        <v>70</v>
      </c>
      <c r="F15" s="25" t="n">
        <v>67</v>
      </c>
      <c r="G15" s="25" t="n">
        <v>64</v>
      </c>
      <c r="H15" s="25" t="n">
        <v>86</v>
      </c>
      <c r="I15" s="25" t="n">
        <v>109</v>
      </c>
      <c r="J15" s="25" t="n"/>
      <c r="K15" s="26">
        <f>IF(AND(ISNUMBER(E15),ISNUMBER(H15)),H15/E15-1,"")</f>
        <v>0.228571428571429</v>
      </c>
      <c r="L15" s="27" t="n">
        <v>8.699999999999999</v>
      </c>
      <c r="M15" s="27" t="n">
        <v>8.5</v>
      </c>
      <c r="N15" s="27" t="n">
        <v>9</v>
      </c>
      <c r="O15" s="28">
        <f>IF(COUNT(L15:N15)=3,AVERAGE(L15:N15),"")</f>
        <v>8.73333333333333</v>
      </c>
      <c r="P15" s="29" t="n"/>
    </row>
    <row r="16" ht="19" customHeight="1">
      <c r="A16" s="23" t="inlineStr">
        <is>
          <t>追蹤中</t>
        </is>
      </c>
      <c r="B16" s="23" t="inlineStr">
        <is>
          <t>台股</t>
        </is>
      </c>
      <c r="C16" s="75" t="inlineStr">
        <is>
          <t>3529</t>
        </is>
      </c>
      <c r="D16" s="76" t="str">
        <f>IFERROR(INDEX('公司檔案'!$B:$B,MATCH(C16,'公司檔案'!$A:$A,0)),"請先到公司檔案新增")</f>
        <v>力旺</v>
      </c>
      <c r="E16" s="25" t="n">
        <v>2300</v>
      </c>
      <c r="F16" s="25" t="n">
        <v>2150</v>
      </c>
      <c r="G16" s="25" t="n">
        <v>2100</v>
      </c>
      <c r="H16" s="25" t="n">
        <v>3000</v>
      </c>
      <c r="I16" s="25" t="n">
        <v>3700</v>
      </c>
      <c r="J16" s="25" t="n">
        <v>4200</v>
      </c>
      <c r="K16" s="26">
        <f>IF(AND(ISNUMBER(E16),ISNUMBER(H16)),H16/E16-1,"")</f>
        <v>0.304347826086957</v>
      </c>
      <c r="L16" s="27" t="n">
        <v>8.6</v>
      </c>
      <c r="M16" s="27" t="n"/>
      <c r="N16" s="27" t="n"/>
      <c r="O16" s="28" t="str">
        <f>IF(COUNT(L16:N16)=3,AVERAGE(L16:N16),"")</f>
        <v/>
      </c>
      <c r="P16" s="29" t="n"/>
    </row>
    <row r="17" ht="19" customHeight="1">
      <c r="A17" s="23" t="inlineStr">
        <is>
          <t>追蹤中</t>
        </is>
      </c>
      <c r="B17" s="23" t="inlineStr">
        <is>
          <t>台股</t>
        </is>
      </c>
      <c r="C17" s="75" t="inlineStr">
        <is>
          <t>2337</t>
        </is>
      </c>
      <c r="D17" s="76" t="str">
        <f>IFERROR(INDEX('公司檔案'!$B:$B,MATCH(C17,'公司檔案'!$A:$A,0)),"請先到公司檔案新增")</f>
        <v>旺宏</v>
      </c>
      <c r="E17" s="30" t="n">
        <v>125</v>
      </c>
      <c r="F17" s="25" t="n">
        <v>118</v>
      </c>
      <c r="G17" s="25" t="n">
        <v>101</v>
      </c>
      <c r="H17" s="25" t="n">
        <v>160</v>
      </c>
      <c r="I17" s="25" t="n">
        <v>190</v>
      </c>
      <c r="J17" s="25" t="n">
        <v>220</v>
      </c>
      <c r="K17" s="26">
        <f>IF(AND(ISNUMBER(E17),ISNUMBER(H17)),H17/E17-1,"")</f>
        <v>0.28</v>
      </c>
      <c r="L17" s="27" t="n">
        <v>8.9</v>
      </c>
      <c r="M17" s="27" t="n"/>
      <c r="N17" s="27" t="n"/>
      <c r="O17" s="28" t="str">
        <f>IF(COUNT(L17:N17)=3,AVERAGE(L17:N17),"")</f>
        <v/>
      </c>
      <c r="P17" s="29" t="n"/>
    </row>
    <row r="18" ht="19" customHeight="1">
      <c r="A18" s="23" t="inlineStr">
        <is>
          <t>追蹤中</t>
        </is>
      </c>
      <c r="B18" s="23" t="inlineStr">
        <is>
          <t>台股</t>
        </is>
      </c>
      <c r="C18" s="75" t="inlineStr">
        <is>
          <t>6139</t>
        </is>
      </c>
      <c r="D18" s="76" t="str">
        <f>IFERROR(INDEX('公司檔案'!$B:$B,MATCH(C18,'公司檔案'!$A:$A,0)),"請先到公司檔案新增")</f>
        <v>亞翔</v>
      </c>
      <c r="E18" s="25" t="n">
        <v>770</v>
      </c>
      <c r="F18" s="25" t="n"/>
      <c r="G18" s="30" t="n">
        <v>750</v>
      </c>
      <c r="H18" s="25" t="n">
        <v>980</v>
      </c>
      <c r="I18" s="25" t="n">
        <v>1100</v>
      </c>
      <c r="J18" s="25" t="n"/>
      <c r="K18" s="26">
        <f>IF(AND(ISNUMBER(E18),ISNUMBER(H18)),H18/E18-1,"")</f>
        <v>0.272727272727273</v>
      </c>
      <c r="L18" s="27" t="n">
        <v>8.5</v>
      </c>
      <c r="M18" s="27" t="n">
        <v>9.5</v>
      </c>
      <c r="N18" s="27" t="n">
        <v>8.5</v>
      </c>
      <c r="O18" s="28">
        <f>IF(COUNT(L18:N18)=3,AVERAGE(L18:N18),"")</f>
        <v>8.83333333333333</v>
      </c>
      <c r="P18" s="29" t="inlineStr">
        <is>
          <t>730-750建議買滿</t>
        </is>
      </c>
    </row>
    <row r="19" ht="19" customHeight="1">
      <c r="A19" s="23" t="inlineStr">
        <is>
          <t>追蹤中</t>
        </is>
      </c>
      <c r="B19" s="23" t="inlineStr">
        <is>
          <t>台股</t>
        </is>
      </c>
      <c r="C19" s="75" t="inlineStr">
        <is>
          <t>3081</t>
        </is>
      </c>
      <c r="D19" s="76" t="str">
        <f>IFERROR(INDEX('公司檔案'!$B:$B,MATCH(C19,'公司檔案'!$A:$A,0)),"請先到公司檔案新增")</f>
        <v>聯亞</v>
      </c>
      <c r="E19" s="30" t="n">
        <v>2600</v>
      </c>
      <c r="F19" s="25" t="n">
        <v>2500</v>
      </c>
      <c r="G19" s="25" t="n">
        <v>2200</v>
      </c>
      <c r="H19" s="25" t="n">
        <v>2400</v>
      </c>
      <c r="I19" s="25" t="n">
        <v>3800</v>
      </c>
      <c r="J19" s="25" t="n">
        <v>4000</v>
      </c>
      <c r="K19" s="26">
        <f>IF(AND(ISNUMBER(E19),ISNUMBER(H19)),H19/E19-1,"")</f>
        <v>-0.0769230769230769</v>
      </c>
      <c r="L19" s="27" t="n">
        <v>9.1</v>
      </c>
      <c r="M19" s="27" t="n"/>
      <c r="N19" s="27" t="n"/>
      <c r="O19" s="28" t="str">
        <f>IF(COUNT(L19:N19)=3,AVERAGE(L19:N19),"")</f>
        <v/>
      </c>
      <c r="P19" s="29" t="n"/>
    </row>
    <row r="20" ht="19" customHeight="1">
      <c r="A20" s="23" t="inlineStr">
        <is>
          <t>追蹤中</t>
        </is>
      </c>
      <c r="B20" s="23" t="inlineStr">
        <is>
          <t>台股</t>
        </is>
      </c>
      <c r="C20" s="75" t="inlineStr">
        <is>
          <t>3376</t>
        </is>
      </c>
      <c r="D20" s="76" t="str">
        <f>IFERROR(INDEX('公司檔案'!$B:$B,MATCH(C20,'公司檔案'!$A:$A,0)),"請先到公司檔案新增")</f>
        <v>新日興</v>
      </c>
      <c r="E20" s="30" t="n">
        <v>210</v>
      </c>
      <c r="F20" s="25" t="n"/>
      <c r="G20" s="25" t="n">
        <v>201</v>
      </c>
      <c r="H20" s="25" t="n">
        <v>250</v>
      </c>
      <c r="I20" s="25" t="n">
        <v>280</v>
      </c>
      <c r="J20" s="25" t="n">
        <v>350</v>
      </c>
      <c r="K20" s="26">
        <f>IF(AND(ISNUMBER(E20),ISNUMBER(H20)),H20/E20-1,"")</f>
        <v>0.19047619047619</v>
      </c>
      <c r="L20" s="27" t="n">
        <v>8.800000000000001</v>
      </c>
      <c r="M20" s="27" t="n"/>
      <c r="N20" s="27" t="n"/>
      <c r="O20" s="28" t="str">
        <f>IF(COUNT(L20:N20)=3,AVERAGE(L20:N20),"")</f>
        <v/>
      </c>
      <c r="P20" s="29" t="n"/>
    </row>
    <row r="21" ht="19" customHeight="1">
      <c r="A21" s="23" t="inlineStr">
        <is>
          <t>追蹤中</t>
        </is>
      </c>
      <c r="B21" s="23" t="inlineStr">
        <is>
          <t>美股</t>
        </is>
      </c>
      <c r="C21" s="75" t="inlineStr">
        <is>
          <t>CRDO</t>
        </is>
      </c>
      <c r="D21" s="76" t="str">
        <f>IFERROR(INDEX('公司檔案'!$B:$B,MATCH(C21,'公司檔案'!$A:$A,0)),"請先到公司檔案新增")</f>
        <v>Credo</v>
      </c>
      <c r="E21" s="25" t="n">
        <v>225</v>
      </c>
      <c r="F21" s="25" t="n">
        <v>212</v>
      </c>
      <c r="G21" s="25" t="n">
        <v>200</v>
      </c>
      <c r="H21" s="25" t="n">
        <v>280</v>
      </c>
      <c r="I21" s="25" t="n">
        <v>360</v>
      </c>
      <c r="J21" s="25" t="n">
        <v>410</v>
      </c>
      <c r="K21" s="26">
        <f>IF(AND(ISNUMBER(E21),ISNUMBER(H21)),H21/E21-1,"")</f>
        <v>0.244444444444444</v>
      </c>
      <c r="L21" s="27" t="n">
        <v>8.9</v>
      </c>
      <c r="M21" s="27" t="n"/>
      <c r="N21" s="27" t="n"/>
      <c r="O21" s="28" t="str">
        <f>IF(COUNT(L21:N21)=3,AVERAGE(L21:N21),"")</f>
        <v/>
      </c>
      <c r="P21" s="29" t="n"/>
    </row>
    <row r="22" ht="19" customHeight="1">
      <c r="A22" s="23" t="inlineStr">
        <is>
          <t>追蹤中</t>
        </is>
      </c>
      <c r="B22" s="23" t="inlineStr">
        <is>
          <t>台股</t>
        </is>
      </c>
      <c r="C22" s="75" t="inlineStr">
        <is>
          <t>2337</t>
        </is>
      </c>
      <c r="D22" s="76" t="str">
        <f>IFERROR(INDEX('公司檔案'!$B:$B,MATCH(C22,'公司檔案'!$A:$A,0)),"請先到公司檔案新增")</f>
        <v>旺宏</v>
      </c>
      <c r="E22" s="25" t="n">
        <v>130</v>
      </c>
      <c r="F22" s="25" t="n"/>
      <c r="G22" s="25" t="n">
        <v>120</v>
      </c>
      <c r="H22" s="25" t="n">
        <v>180</v>
      </c>
      <c r="I22" s="25" t="n">
        <v>225</v>
      </c>
      <c r="J22" s="25" t="n"/>
      <c r="K22" s="26">
        <f>IF(AND(ISNUMBER(E22),ISNUMBER(H22)),H22/E22-1,"")</f>
        <v>0.384615384615385</v>
      </c>
      <c r="L22" s="27" t="n">
        <v>8.4</v>
      </c>
      <c r="M22" s="27" t="n"/>
      <c r="N22" s="27" t="n"/>
      <c r="O22" s="28" t="str">
        <f>IF(COUNT(L22:N22)=3,AVERAGE(L22:N22),"")</f>
        <v/>
      </c>
      <c r="P22" s="29" t="n"/>
    </row>
    <row r="23" ht="19" customHeight="1">
      <c r="A23" s="23" t="inlineStr">
        <is>
          <t>追蹤中</t>
        </is>
      </c>
      <c r="B23" s="23" t="inlineStr">
        <is>
          <t>台股</t>
        </is>
      </c>
      <c r="C23" s="75" t="inlineStr">
        <is>
          <t>7610</t>
        </is>
      </c>
      <c r="D23" s="76" t="str">
        <f>IFERROR(INDEX('公司檔案'!$B:$B,MATCH(C23,'公司檔案'!$A:$A,0)),"請先到公司檔案新增")</f>
        <v>聯友金屬-創</v>
      </c>
      <c r="E23" s="30" t="n">
        <v>1900</v>
      </c>
      <c r="F23" s="25" t="n">
        <v>1660</v>
      </c>
      <c r="G23" s="25" t="n">
        <v>1500</v>
      </c>
      <c r="H23" s="25" t="n">
        <v>2400</v>
      </c>
      <c r="I23" s="25" t="n">
        <v>3100</v>
      </c>
      <c r="J23" s="25" t="n"/>
      <c r="K23" s="26">
        <f>IF(AND(ISNUMBER(E23),ISNUMBER(H23)),H23/E23-1,"")</f>
        <v>0.263157894736842</v>
      </c>
      <c r="L23" s="27" t="n">
        <v>9</v>
      </c>
      <c r="M23" s="27" t="n"/>
      <c r="N23" s="27" t="n"/>
      <c r="O23" s="28" t="str">
        <f>IF(COUNT(L23:N23)=3,AVERAGE(L23:N23),"")</f>
        <v/>
      </c>
      <c r="P23" s="29" t="n"/>
    </row>
    <row r="24" ht="19" customHeight="1">
      <c r="A24" s="23" t="inlineStr">
        <is>
          <t>追蹤中</t>
        </is>
      </c>
      <c r="B24" s="23" t="inlineStr">
        <is>
          <t>台股</t>
        </is>
      </c>
      <c r="C24" s="75" t="inlineStr">
        <is>
          <t>6725</t>
        </is>
      </c>
      <c r="D24" s="76" t="str">
        <f>IFERROR(INDEX('公司檔案'!$B:$B,MATCH(C24,'公司檔案'!$A:$A,0)),"請先到公司檔案新增")</f>
        <v>矽科宏晟</v>
      </c>
      <c r="E24" s="25" t="n">
        <v>300</v>
      </c>
      <c r="F24" s="25" t="n"/>
      <c r="G24" s="25" t="n">
        <v>285</v>
      </c>
      <c r="H24" s="25" t="n">
        <v>420</v>
      </c>
      <c r="I24" s="25" t="n">
        <v>652</v>
      </c>
      <c r="J24" s="25" t="n"/>
      <c r="K24" s="26">
        <f>IF(AND(ISNUMBER(E24),ISNUMBER(H24)),H24/E24-1,"")</f>
        <v>0.4</v>
      </c>
      <c r="L24" s="27" t="n">
        <v>8.5</v>
      </c>
      <c r="M24" s="27" t="n">
        <v>9</v>
      </c>
      <c r="N24" s="27" t="n">
        <v>9</v>
      </c>
      <c r="O24" s="28">
        <f>IF(COUNT(L24:N24)=3,AVERAGE(L24:N24),"")</f>
        <v>8.83333333333333</v>
      </c>
      <c r="P24" s="29" t="n"/>
    </row>
    <row r="25" ht="19" customHeight="1">
      <c r="A25" s="23" t="inlineStr">
        <is>
          <t>追蹤中</t>
        </is>
      </c>
      <c r="B25" s="23" t="inlineStr">
        <is>
          <t>台股</t>
        </is>
      </c>
      <c r="C25" s="75" t="inlineStr">
        <is>
          <t>2441</t>
        </is>
      </c>
      <c r="D25" s="76" t="str">
        <f>IFERROR(INDEX('公司檔案'!$B:$B,MATCH(C25,'公司檔案'!$A:$A,0)),"請先到公司檔案新增")</f>
        <v>超豐</v>
      </c>
      <c r="E25" s="30" t="n">
        <v>120</v>
      </c>
      <c r="F25" s="25" t="n"/>
      <c r="G25" s="25" t="n">
        <v>111</v>
      </c>
      <c r="H25" s="25" t="n">
        <v>155</v>
      </c>
      <c r="I25" s="25" t="n">
        <v>173</v>
      </c>
      <c r="J25" s="25" t="n"/>
      <c r="K25" s="26">
        <f>IF(AND(ISNUMBER(E25),ISNUMBER(H25)),H25/E25-1,"")</f>
        <v>0.291666666666667</v>
      </c>
      <c r="L25" s="27" t="n">
        <v>8.6</v>
      </c>
      <c r="M25" s="27" t="n">
        <v>5</v>
      </c>
      <c r="N25" s="27" t="n">
        <v>8</v>
      </c>
      <c r="O25" s="28">
        <f>IF(COUNT(L25:N25)=3,AVERAGE(L25:N25),"")</f>
        <v>7.2</v>
      </c>
      <c r="P25" s="29" t="n"/>
    </row>
    <row r="26" ht="19" customHeight="1">
      <c r="A26" s="23" t="inlineStr">
        <is>
          <t>追蹤中</t>
        </is>
      </c>
      <c r="B26" s="23" t="inlineStr">
        <is>
          <t>台股</t>
        </is>
      </c>
      <c r="C26" s="75" t="inlineStr">
        <is>
          <t>4966</t>
        </is>
      </c>
      <c r="D26" s="76" t="str">
        <f>IFERROR(INDEX('公司檔案'!$B:$B,MATCH(C26,'公司檔案'!$A:$A,0)),"請先到公司檔案新增")</f>
        <v>譜瑞-KY</v>
      </c>
      <c r="E26" s="25" t="n"/>
      <c r="F26" s="25" t="n"/>
      <c r="G26" s="25" t="n">
        <v>560</v>
      </c>
      <c r="H26" s="25" t="n">
        <v>702</v>
      </c>
      <c r="I26" s="25" t="n">
        <v>910</v>
      </c>
      <c r="J26" s="25" t="n"/>
      <c r="K26" s="26" t="str">
        <f>IF(AND(ISNUMBER(E26),ISNUMBER(H26)),H26/E26-1,"")</f>
        <v/>
      </c>
      <c r="L26" s="27" t="n">
        <v>7.5</v>
      </c>
      <c r="M26" s="27" t="n">
        <v>9.5</v>
      </c>
      <c r="N26" s="27" t="n">
        <v>7</v>
      </c>
      <c r="O26" s="28">
        <f>IF(COUNT(L26:N26)=3,AVERAGE(L26:N26),"")</f>
        <v>8</v>
      </c>
      <c r="P26" s="29" t="n"/>
    </row>
    <row r="27" ht="19" customHeight="1">
      <c r="A27" s="23" t="inlineStr">
        <is>
          <t>追蹤中</t>
        </is>
      </c>
      <c r="B27" s="23" t="inlineStr">
        <is>
          <t>台股</t>
        </is>
      </c>
      <c r="C27" s="75" t="inlineStr">
        <is>
          <t>4971</t>
        </is>
      </c>
      <c r="D27" s="76" t="str">
        <f>IFERROR(INDEX('公司檔案'!$B:$B,MATCH(C27,'公司檔案'!$A:$A,0)),"請先到公司檔案新增")</f>
        <v>IET-KY</v>
      </c>
      <c r="E27" s="25" t="n">
        <v>420</v>
      </c>
      <c r="F27" s="25" t="n"/>
      <c r="G27" s="25" t="n">
        <v>390</v>
      </c>
      <c r="H27" s="25" t="n">
        <v>620</v>
      </c>
      <c r="I27" s="25" t="n">
        <v>810</v>
      </c>
      <c r="J27" s="25" t="n"/>
      <c r="K27" s="26">
        <f>IF(AND(ISNUMBER(E27),ISNUMBER(H27)),H27/E27-1,"")</f>
        <v>0.476190476190476</v>
      </c>
      <c r="L27" s="27" t="n">
        <v>8.4</v>
      </c>
      <c r="M27" s="27" t="n"/>
      <c r="N27" s="27" t="n"/>
      <c r="O27" s="28" t="str">
        <f>IF(COUNT(L27:N27)=3,AVERAGE(L27:N27),"")</f>
        <v/>
      </c>
      <c r="P27" s="29" t="inlineStr">
        <is>
          <t>過440買</t>
        </is>
      </c>
    </row>
    <row r="28" ht="19" customHeight="1">
      <c r="A28" s="23" t="inlineStr">
        <is>
          <t>追蹤中</t>
        </is>
      </c>
      <c r="B28" s="23" t="inlineStr">
        <is>
          <t>台股</t>
        </is>
      </c>
      <c r="C28" s="75" t="inlineStr">
        <is>
          <t>5347</t>
        </is>
      </c>
      <c r="D28" s="76" t="str">
        <f>IFERROR(INDEX('公司檔案'!$B:$B,MATCH(C28,'公司檔案'!$A:$A,0)),"請先到公司檔案新增")</f>
        <v>世界</v>
      </c>
      <c r="E28" s="30" t="n">
        <v>195</v>
      </c>
      <c r="F28" s="25" t="n"/>
      <c r="G28" s="25" t="n">
        <v>190</v>
      </c>
      <c r="H28" s="25" t="n">
        <v>260</v>
      </c>
      <c r="I28" s="25" t="n">
        <v>350</v>
      </c>
      <c r="J28" s="25" t="n">
        <v>450</v>
      </c>
      <c r="K28" s="26">
        <f>IF(AND(ISNUMBER(E28),ISNUMBER(H28)),H28/E28-1,"")</f>
        <v>0.333333333333333</v>
      </c>
      <c r="L28" s="27" t="n">
        <v>9.1</v>
      </c>
      <c r="M28" s="27" t="n">
        <v>6</v>
      </c>
      <c r="N28" s="27" t="n">
        <v>9</v>
      </c>
      <c r="O28" s="28">
        <f>IF(COUNT(L28:N28)=3,AVERAGE(L28:N28),"")</f>
        <v>8.03333333333333</v>
      </c>
      <c r="P28" s="29" t="inlineStr">
        <is>
          <t>做最後一次加碼</t>
        </is>
      </c>
    </row>
    <row r="29" ht="19" customHeight="1">
      <c r="A29" s="23" t="inlineStr">
        <is>
          <t>追蹤中</t>
        </is>
      </c>
      <c r="B29" s="23" t="inlineStr">
        <is>
          <t>台股</t>
        </is>
      </c>
      <c r="C29" s="75" t="inlineStr">
        <is>
          <t>6805</t>
        </is>
      </c>
      <c r="D29" s="76" t="str">
        <f>IFERROR(INDEX('公司檔案'!$B:$B,MATCH(C29,'公司檔案'!$A:$A,0)),"請先到公司檔案新增")</f>
        <v>富世達</v>
      </c>
      <c r="E29" s="25" t="n">
        <v>1635</v>
      </c>
      <c r="F29" s="25" t="n"/>
      <c r="G29" s="25" t="n">
        <v>1470</v>
      </c>
      <c r="H29" s="25" t="n">
        <v>2100</v>
      </c>
      <c r="I29" s="25" t="n">
        <v>2400</v>
      </c>
      <c r="J29" s="25" t="n"/>
      <c r="K29" s="26">
        <f>IF(AND(ISNUMBER(E29),ISNUMBER(H29)),H29/E29-1,"")</f>
        <v>0.284403669724771</v>
      </c>
      <c r="L29" s="27" t="n">
        <v>8</v>
      </c>
      <c r="M29" s="27" t="n"/>
      <c r="N29" s="27" t="n"/>
      <c r="O29" s="28" t="str">
        <f>IF(COUNT(L29:N29)=3,AVERAGE(L29:N29),"")</f>
        <v/>
      </c>
      <c r="P29" s="29" t="inlineStr">
        <is>
          <t>收過1690買比較安全</t>
        </is>
      </c>
    </row>
    <row r="30" ht="19" customHeight="1">
      <c r="A30" s="23" t="inlineStr">
        <is>
          <t>追蹤中</t>
        </is>
      </c>
      <c r="B30" s="23" t="inlineStr">
        <is>
          <t>台股</t>
        </is>
      </c>
      <c r="C30" s="75" t="inlineStr">
        <is>
          <t>8299</t>
        </is>
      </c>
      <c r="D30" s="76" t="str">
        <f>IFERROR(INDEX('公司檔案'!$B:$B,MATCH(C30,'公司檔案'!$A:$A,0)),"請先到公司檔案新增")</f>
        <v>群聯</v>
      </c>
      <c r="E30" s="30" t="n">
        <v>2500</v>
      </c>
      <c r="F30" s="25" t="n">
        <v>2200</v>
      </c>
      <c r="G30" s="25" t="n">
        <v>2100</v>
      </c>
      <c r="H30" s="25" t="n">
        <v>3400</v>
      </c>
      <c r="I30" s="25" t="n">
        <v>3900</v>
      </c>
      <c r="J30" s="25" t="n">
        <v>4400</v>
      </c>
      <c r="K30" s="26">
        <f>IF(AND(ISNUMBER(E30),ISNUMBER(H30)),H30/E30-1,"")</f>
        <v>0.36</v>
      </c>
      <c r="L30" s="27" t="n">
        <v>9</v>
      </c>
      <c r="M30" s="27" t="n"/>
      <c r="N30" s="27" t="n"/>
      <c r="O30" s="28" t="str">
        <f>IF(COUNT(L30:N30)=3,AVERAGE(L30:N30),"")</f>
        <v/>
      </c>
      <c r="P30" s="29" t="n"/>
    </row>
    <row r="31" ht="19" customHeight="1">
      <c r="A31" s="23" t="inlineStr">
        <is>
          <t>追蹤中</t>
        </is>
      </c>
      <c r="B31" s="23" t="inlineStr">
        <is>
          <t>台股</t>
        </is>
      </c>
      <c r="C31" s="75" t="inlineStr">
        <is>
          <t>4989</t>
        </is>
      </c>
      <c r="D31" s="76" t="str">
        <f>IFERROR(INDEX('公司檔案'!$B:$B,MATCH(C31,'公司檔案'!$A:$A,0)),"請先到公司檔案新增")</f>
        <v>榮科</v>
      </c>
      <c r="E31" s="25" t="n">
        <v>88</v>
      </c>
      <c r="F31" s="25" t="n"/>
      <c r="G31" s="25" t="n">
        <v>77</v>
      </c>
      <c r="H31" s="25" t="n">
        <v>130</v>
      </c>
      <c r="I31" s="25" t="n">
        <v>154</v>
      </c>
      <c r="J31" s="25" t="n">
        <v>180</v>
      </c>
      <c r="K31" s="26">
        <f>IF(AND(ISNUMBER(E31),ISNUMBER(H31)),H31/E31-1,"")</f>
        <v>0.477272727272727</v>
      </c>
      <c r="L31" s="27" t="n">
        <v>8.800000000000001</v>
      </c>
      <c r="M31" s="27" t="n"/>
      <c r="N31" s="27" t="n"/>
      <c r="O31" s="28" t="str">
        <f>IF(COUNT(L31:N31)=3,AVERAGE(L31:N31),"")</f>
        <v/>
      </c>
      <c r="P31" s="29" t="n"/>
    </row>
    <row r="32" ht="19" customHeight="1">
      <c r="A32" s="23" t="inlineStr">
        <is>
          <t>追蹤中</t>
        </is>
      </c>
      <c r="B32" s="23" t="inlineStr">
        <is>
          <t>台股</t>
        </is>
      </c>
      <c r="C32" s="75" t="inlineStr">
        <is>
          <t>2329</t>
        </is>
      </c>
      <c r="D32" s="76" t="str">
        <f>IFERROR(INDEX('公司檔案'!$B:$B,MATCH(C32,'公司檔案'!$A:$A,0)),"請先到公司檔案新增")</f>
        <v>華泰</v>
      </c>
      <c r="E32" s="30" t="n">
        <v>62</v>
      </c>
      <c r="F32" s="25" t="n">
        <v>58</v>
      </c>
      <c r="G32" s="25" t="n">
        <v>54</v>
      </c>
      <c r="H32" s="25" t="n">
        <v>88</v>
      </c>
      <c r="I32" s="25" t="n">
        <v>120</v>
      </c>
      <c r="J32" s="25" t="n">
        <v>150</v>
      </c>
      <c r="K32" s="26">
        <f>IF(AND(ISNUMBER(E32),ISNUMBER(H32)),H32/E32-1,"")</f>
        <v>0.419354838709678</v>
      </c>
      <c r="L32" s="27" t="n">
        <v>9.300000000000001</v>
      </c>
      <c r="M32" s="27" t="n"/>
      <c r="N32" s="27" t="n"/>
      <c r="O32" s="28" t="str">
        <f>IF(COUNT(L32:N32)=3,AVERAGE(L32:N32),"")</f>
        <v/>
      </c>
      <c r="P32" s="29" t="inlineStr">
        <is>
          <t>站回56或&lt;54</t>
        </is>
      </c>
    </row>
    <row r="33" ht="19" customHeight="1">
      <c r="A33" s="23" t="inlineStr">
        <is>
          <t>追蹤中</t>
        </is>
      </c>
      <c r="B33" s="23" t="inlineStr">
        <is>
          <t>台股</t>
        </is>
      </c>
      <c r="C33" s="75" t="inlineStr">
        <is>
          <t>3026</t>
        </is>
      </c>
      <c r="D33" s="76" t="str">
        <f>IFERROR(INDEX('公司檔案'!$B:$B,MATCH(C33,'公司檔案'!$A:$A,0)),"請先到公司檔案新增")</f>
        <v>禾伸堂</v>
      </c>
      <c r="E33" s="30" t="n">
        <v>900</v>
      </c>
      <c r="F33" s="25" t="n"/>
      <c r="G33" s="25" t="n">
        <v>800</v>
      </c>
      <c r="H33" s="25" t="n">
        <v>1150</v>
      </c>
      <c r="I33" s="25" t="n">
        <v>1350</v>
      </c>
      <c r="J33" s="25" t="n">
        <v>1500</v>
      </c>
      <c r="K33" s="26">
        <f>IF(AND(ISNUMBER(E33),ISNUMBER(H33)),H33/E33-1,"")</f>
        <v>0.277777777777778</v>
      </c>
      <c r="L33" s="27" t="n">
        <v>9.300000000000001</v>
      </c>
      <c r="M33" s="27" t="n"/>
      <c r="N33" s="27" t="n"/>
      <c r="O33" s="28" t="str">
        <f>IF(COUNT(L33:N33)=3,AVERAGE(L33:N33),"")</f>
        <v/>
      </c>
      <c r="P33" s="29" t="n"/>
    </row>
    <row r="34" ht="19" customHeight="1">
      <c r="A34" s="23" t="inlineStr">
        <is>
          <t>追蹤中</t>
        </is>
      </c>
      <c r="B34" s="23" t="inlineStr">
        <is>
          <t>台股</t>
        </is>
      </c>
      <c r="C34" s="75" t="inlineStr">
        <is>
          <t>6147</t>
        </is>
      </c>
      <c r="D34" s="76" t="str">
        <f>IFERROR(INDEX('公司檔案'!$B:$B,MATCH(C34,'公司檔案'!$A:$A,0)),"請先到公司檔案新增")</f>
        <v>頎邦</v>
      </c>
      <c r="E34" s="25" t="n">
        <v>215</v>
      </c>
      <c r="F34" s="25" t="n"/>
      <c r="G34" s="25" t="n">
        <v>190</v>
      </c>
      <c r="H34" s="25" t="n">
        <v>300</v>
      </c>
      <c r="I34" s="25" t="n">
        <v>345</v>
      </c>
      <c r="J34" s="25" t="n"/>
      <c r="K34" s="26">
        <f>IF(AND(ISNUMBER(E34),ISNUMBER(H34)),H34/E34-1,"")</f>
        <v>0.395348837209302</v>
      </c>
      <c r="L34" s="27" t="n">
        <v>8.5</v>
      </c>
      <c r="M34" s="27" t="n"/>
      <c r="N34" s="27" t="n"/>
      <c r="O34" s="28" t="str">
        <f>IF(COUNT(L34:N34)=3,AVERAGE(L34:N34),"")</f>
        <v/>
      </c>
      <c r="P34" s="29" t="inlineStr">
        <is>
          <t>不追高</t>
        </is>
      </c>
    </row>
    <row r="35" ht="19" customHeight="1">
      <c r="A35" s="23" t="inlineStr">
        <is>
          <t>追蹤中</t>
        </is>
      </c>
      <c r="B35" s="23" t="inlineStr">
        <is>
          <t>台股</t>
        </is>
      </c>
      <c r="C35" s="75" t="inlineStr">
        <is>
          <t>6173</t>
        </is>
      </c>
      <c r="D35" s="76" t="str">
        <f>IFERROR(INDEX('公司檔案'!$B:$B,MATCH(C35,'公司檔案'!$A:$A,0)),"請先到公司檔案新增")</f>
        <v>信昌電</v>
      </c>
      <c r="E35" s="30" t="n">
        <v>233</v>
      </c>
      <c r="F35" s="25" t="n"/>
      <c r="G35" s="25" t="n">
        <v>200</v>
      </c>
      <c r="H35" s="25" t="n">
        <v>280</v>
      </c>
      <c r="I35" s="25" t="n">
        <v>360</v>
      </c>
      <c r="J35" s="25" t="n"/>
      <c r="K35" s="26">
        <f>IF(AND(ISNUMBER(E35),ISNUMBER(H35)),H35/E35-1,"")</f>
        <v>0.201716738197425</v>
      </c>
      <c r="L35" s="27" t="n">
        <v>9.199999999999999</v>
      </c>
      <c r="M35" s="27" t="n">
        <v>6</v>
      </c>
      <c r="N35" s="27" t="n">
        <v>7</v>
      </c>
      <c r="O35" s="28">
        <f>IF(COUNT(L35:N35)=3,AVERAGE(L35:N35),"")</f>
        <v>7.4</v>
      </c>
      <c r="P35" s="29" t="n"/>
    </row>
    <row r="36" ht="19" customHeight="1">
      <c r="A36" s="23" t="inlineStr">
        <is>
          <t>追蹤中</t>
        </is>
      </c>
      <c r="B36" s="23" t="inlineStr">
        <is>
          <t>台股</t>
        </is>
      </c>
      <c r="C36" s="75" t="inlineStr">
        <is>
          <t>6770</t>
        </is>
      </c>
      <c r="D36" s="76" t="str">
        <f>IFERROR(INDEX('公司檔案'!$B:$B,MATCH(C36,'公司檔案'!$A:$A,0)),"請先到公司檔案新增")</f>
        <v>力積電</v>
      </c>
      <c r="E36" s="25" t="n"/>
      <c r="F36" s="25" t="n"/>
      <c r="G36" s="25" t="n">
        <v>78</v>
      </c>
      <c r="H36" s="25" t="n">
        <v>105</v>
      </c>
      <c r="I36" s="25" t="n">
        <v>130</v>
      </c>
      <c r="J36" s="25" t="n">
        <v>170</v>
      </c>
      <c r="K36" s="26" t="str">
        <f>IF(AND(ISNUMBER(E36),ISNUMBER(H36)),H36/E36-1,"")</f>
        <v/>
      </c>
      <c r="L36" s="27" t="n">
        <v>8.9</v>
      </c>
      <c r="M36" s="27" t="n"/>
      <c r="N36" s="27" t="n"/>
      <c r="O36" s="28" t="str">
        <f>IF(COUNT(L36:N36)=3,AVERAGE(L36:N36),"")</f>
        <v/>
      </c>
      <c r="P36" s="29" t="n"/>
    </row>
    <row r="37" ht="19" customHeight="1">
      <c r="A37" s="23" t="inlineStr">
        <is>
          <t>追蹤中</t>
        </is>
      </c>
      <c r="B37" s="23" t="inlineStr">
        <is>
          <t>台股</t>
        </is>
      </c>
      <c r="C37" s="75" t="inlineStr">
        <is>
          <t>2329</t>
        </is>
      </c>
      <c r="D37" s="76" t="str">
        <f>IFERROR(INDEX('公司檔案'!$B:$B,MATCH(C37,'公司檔案'!$A:$A,0)),"請先到公司檔案新增")</f>
        <v>華泰</v>
      </c>
      <c r="E37" s="30" t="n">
        <v>60</v>
      </c>
      <c r="F37" s="25" t="n"/>
      <c r="G37" s="30" t="n">
        <v>57</v>
      </c>
      <c r="H37" s="25" t="n">
        <v>75</v>
      </c>
      <c r="I37" s="25" t="n">
        <v>100</v>
      </c>
      <c r="J37" s="25" t="n">
        <v>120</v>
      </c>
      <c r="K37" s="26">
        <f>IF(AND(ISNUMBER(E37),ISNUMBER(H37)),H37/E37-1,"")</f>
        <v>0.25</v>
      </c>
      <c r="L37" s="27" t="n">
        <v>9.199999999999999</v>
      </c>
      <c r="M37" s="27" t="n"/>
      <c r="N37" s="27" t="n"/>
      <c r="O37" s="28" t="str">
        <f>IF(COUNT(L37:N37)=3,AVERAGE(L37:N37),"")</f>
        <v/>
      </c>
      <c r="P37" s="29" t="n"/>
    </row>
    <row r="38" ht="19" customHeight="1">
      <c r="A38" s="23" t="inlineStr">
        <is>
          <t>追蹤中</t>
        </is>
      </c>
      <c r="B38" s="23" t="inlineStr">
        <is>
          <t>台股</t>
        </is>
      </c>
      <c r="C38" s="75" t="inlineStr">
        <is>
          <t>3026</t>
        </is>
      </c>
      <c r="D38" s="76" t="str">
        <f>IFERROR(INDEX('公司檔案'!$B:$B,MATCH(C38,'公司檔案'!$A:$A,0)),"請先到公司檔案新增")</f>
        <v>禾伸堂</v>
      </c>
      <c r="E38" s="25" t="n">
        <v>590</v>
      </c>
      <c r="F38" s="25" t="n">
        <v>570</v>
      </c>
      <c r="G38" s="25" t="n">
        <v>520</v>
      </c>
      <c r="H38" s="25" t="n">
        <v>720</v>
      </c>
      <c r="I38" s="25" t="n">
        <v>860</v>
      </c>
      <c r="J38" s="25" t="n">
        <v>990</v>
      </c>
      <c r="K38" s="26">
        <f>IF(AND(ISNUMBER(E38),ISNUMBER(H38)),H38/E38-1,"")</f>
        <v>0.220338983050848</v>
      </c>
      <c r="L38" s="27" t="n">
        <v>9.300000000000001</v>
      </c>
      <c r="M38" s="27" t="n"/>
      <c r="N38" s="27" t="n"/>
      <c r="O38" s="28" t="str">
        <f>IF(COUNT(L38:N38)=3,AVERAGE(L38:N38),"")</f>
        <v/>
      </c>
      <c r="P38" s="29" t="n"/>
    </row>
    <row r="39" ht="19" customHeight="1">
      <c r="A39" s="23" t="inlineStr">
        <is>
          <t>追蹤中</t>
        </is>
      </c>
      <c r="B39" s="23" t="inlineStr">
        <is>
          <t>台股</t>
        </is>
      </c>
      <c r="C39" s="75" t="inlineStr">
        <is>
          <t>6488</t>
        </is>
      </c>
      <c r="D39" s="76" t="str">
        <f>IFERROR(INDEX('公司檔案'!$B:$B,MATCH(C39,'公司檔案'!$A:$A,0)),"請先到公司檔案新增")</f>
        <v>環球晶</v>
      </c>
      <c r="E39" s="30" t="n">
        <v>800</v>
      </c>
      <c r="F39" s="25" t="n"/>
      <c r="G39" s="25" t="n">
        <v>750</v>
      </c>
      <c r="H39" s="25" t="n">
        <v>980</v>
      </c>
      <c r="I39" s="25" t="n">
        <v>1200</v>
      </c>
      <c r="J39" s="25" t="n">
        <v>1390</v>
      </c>
      <c r="K39" s="26">
        <f>IF(AND(ISNUMBER(E39),ISNUMBER(H39)),H39/E39-1,"")</f>
        <v>0.225</v>
      </c>
      <c r="L39" s="27" t="n">
        <v>9.300000000000001</v>
      </c>
      <c r="M39" s="27" t="n"/>
      <c r="N39" s="27" t="n"/>
      <c r="O39" s="28" t="str">
        <f>IF(COUNT(L39:N39)=3,AVERAGE(L39:N39),"")</f>
        <v/>
      </c>
      <c r="P39" s="29" t="n"/>
    </row>
    <row r="40" ht="19" customHeight="1">
      <c r="A40" s="23" t="inlineStr">
        <is>
          <t>追蹤中</t>
        </is>
      </c>
      <c r="B40" s="23" t="inlineStr">
        <is>
          <t>台股</t>
        </is>
      </c>
      <c r="C40" s="75" t="inlineStr">
        <is>
          <t>7734</t>
        </is>
      </c>
      <c r="D40" s="76" t="str">
        <f>IFERROR(INDEX('公司檔案'!$B:$B,MATCH(C40,'公司檔案'!$A:$A,0)),"請先到公司檔案新增")</f>
        <v>印能</v>
      </c>
      <c r="E40" s="25" t="n"/>
      <c r="F40" s="25" t="n"/>
      <c r="G40" s="25" t="n">
        <v>3300</v>
      </c>
      <c r="H40" s="25" t="n">
        <v>4600</v>
      </c>
      <c r="I40" s="25" t="n">
        <v>5400</v>
      </c>
      <c r="J40" s="25" t="n">
        <v>6100</v>
      </c>
      <c r="K40" s="26" t="str">
        <f>IF(AND(ISNUMBER(E40),ISNUMBER(H40)),H40/E40-1,"")</f>
        <v/>
      </c>
      <c r="L40" s="27" t="n">
        <v>9.300000000000001</v>
      </c>
      <c r="M40" s="27" t="n"/>
      <c r="N40" s="27" t="n"/>
      <c r="O40" s="28" t="str">
        <f>IF(COUNT(L40:N40)=3,AVERAGE(L40:N40),"")</f>
        <v/>
      </c>
      <c r="P40" s="29" t="n"/>
    </row>
    <row r="41" ht="19" customHeight="1">
      <c r="A41" s="23" t="inlineStr">
        <is>
          <t>追蹤中</t>
        </is>
      </c>
      <c r="B41" s="23" t="inlineStr">
        <is>
          <t>台股</t>
        </is>
      </c>
      <c r="C41" s="75" t="inlineStr">
        <is>
          <t>3661</t>
        </is>
      </c>
      <c r="D41" s="76" t="str">
        <f>IFERROR(INDEX('公司檔案'!$B:$B,MATCH(C41,'公司檔案'!$A:$A,0)),"請先到公司檔案新增")</f>
        <v>世芯-KY</v>
      </c>
      <c r="E41" s="30" t="n">
        <v>5000</v>
      </c>
      <c r="F41" s="25" t="n"/>
      <c r="G41" s="30" t="n">
        <v>4600</v>
      </c>
      <c r="H41" s="25" t="n">
        <v>6500</v>
      </c>
      <c r="I41" s="25" t="n">
        <v>8400</v>
      </c>
      <c r="J41" s="25" t="n">
        <v>11500</v>
      </c>
      <c r="K41" s="26">
        <f>IF(AND(ISNUMBER(E41),ISNUMBER(H41)),H41/E41-1,"")</f>
        <v>0.3</v>
      </c>
      <c r="L41" s="27" t="n">
        <v>9.4</v>
      </c>
      <c r="M41" s="27" t="n"/>
      <c r="N41" s="27" t="n"/>
      <c r="O41" s="28" t="str">
        <f>IF(COUNT(L41:N41)=3,AVERAGE(L41:N41),"")</f>
        <v/>
      </c>
      <c r="P41" s="29" t="n"/>
    </row>
    <row r="42" ht="19" customHeight="1">
      <c r="A42" s="23" t="inlineStr">
        <is>
          <t>追蹤中</t>
        </is>
      </c>
      <c r="B42" s="23" t="inlineStr">
        <is>
          <t>日股</t>
        </is>
      </c>
      <c r="C42" s="75" t="inlineStr">
        <is>
          <t>6723</t>
        </is>
      </c>
      <c r="D42" s="76" t="str">
        <f>IFERROR(INDEX('公司檔案'!$B:$B,MATCH(C42,'公司檔案'!$A:$A,0)),"請先到公司檔案新增")</f>
        <v>瑞薩</v>
      </c>
      <c r="E42" s="25" t="n">
        <v>4000</v>
      </c>
      <c r="F42" s="25" t="n">
        <v>3785</v>
      </c>
      <c r="G42" s="25" t="n">
        <v>3600</v>
      </c>
      <c r="H42" s="25" t="n">
        <v>5100</v>
      </c>
      <c r="I42" s="25" t="n">
        <v>5800</v>
      </c>
      <c r="J42" s="25" t="n"/>
      <c r="K42" s="26">
        <f>IF(AND(ISNUMBER(E42),ISNUMBER(H42)),H42/E42-1,"")</f>
        <v>0.275</v>
      </c>
      <c r="L42" s="27" t="n"/>
      <c r="M42" s="27" t="n"/>
      <c r="N42" s="27" t="n"/>
      <c r="O42" s="28" t="str">
        <f>IF(COUNT(L42:N42)=3,AVERAGE(L42:N42),"")</f>
        <v/>
      </c>
      <c r="P42" s="29" t="n"/>
    </row>
    <row r="43" ht="19" customHeight="1">
      <c r="A43" s="23" t="inlineStr">
        <is>
          <t>追蹤中</t>
        </is>
      </c>
      <c r="B43" s="23" t="inlineStr">
        <is>
          <t>台股</t>
        </is>
      </c>
      <c r="C43" s="75" t="inlineStr">
        <is>
          <t>7751</t>
        </is>
      </c>
      <c r="D43" s="76" t="str">
        <f>IFERROR(INDEX('公司檔案'!$B:$B,MATCH(C43,'公司檔案'!$A:$A,0)),"請先到公司檔案新增")</f>
        <v>竑騰</v>
      </c>
      <c r="E43" s="30" t="n">
        <v>1700</v>
      </c>
      <c r="F43" s="25" t="n"/>
      <c r="G43" s="30" t="n">
        <v>1600</v>
      </c>
      <c r="H43" s="25" t="n">
        <v>2000</v>
      </c>
      <c r="I43" s="25" t="n">
        <v>2450</v>
      </c>
      <c r="J43" s="25" t="n">
        <v>3400</v>
      </c>
      <c r="K43" s="26">
        <f>IF(AND(ISNUMBER(E43),ISNUMBER(H43)),H43/E43-1,"")</f>
        <v>0.176470588235294</v>
      </c>
      <c r="L43" s="27" t="n">
        <v>9.199999999999999</v>
      </c>
      <c r="M43" s="27" t="n"/>
      <c r="N43" s="27" t="n"/>
      <c r="O43" s="28" t="str">
        <f>IF(COUNT(L43:N43)=3,AVERAGE(L43:N43),"")</f>
        <v/>
      </c>
      <c r="P43" s="29" t="n"/>
    </row>
    <row r="44" ht="19" customHeight="1">
      <c r="A44" s="23" t="inlineStr">
        <is>
          <t>追蹤中</t>
        </is>
      </c>
      <c r="B44" s="23" t="inlineStr">
        <is>
          <t>台股</t>
        </is>
      </c>
      <c r="C44" s="75" t="inlineStr">
        <is>
          <t>2408</t>
        </is>
      </c>
      <c r="D44" s="76" t="str">
        <f>IFERROR(INDEX('公司檔案'!$B:$B,MATCH(C44,'公司檔案'!$A:$A,0)),"請先到公司檔案新增")</f>
        <v>南亞科</v>
      </c>
      <c r="E44" s="30" t="n">
        <v>270</v>
      </c>
      <c r="F44" s="25" t="n">
        <v>257</v>
      </c>
      <c r="G44" s="25" t="n">
        <v>240</v>
      </c>
      <c r="H44" s="25" t="n">
        <v>325</v>
      </c>
      <c r="I44" s="25" t="n">
        <v>380</v>
      </c>
      <c r="J44" s="25" t="n">
        <v>460</v>
      </c>
      <c r="K44" s="26">
        <f>IF(AND(ISNUMBER(E44),ISNUMBER(H44)),H44/E44-1,"")</f>
        <v>0.203703703703704</v>
      </c>
      <c r="L44" s="27" t="n">
        <v>9.300000000000001</v>
      </c>
      <c r="M44" s="27" t="n"/>
      <c r="N44" s="27" t="n"/>
      <c r="O44" s="28" t="str">
        <f>IF(COUNT(L44:N44)=3,AVERAGE(L44:N44),"")</f>
        <v/>
      </c>
      <c r="P44" s="29" t="n"/>
    </row>
    <row r="45" ht="19" customHeight="1">
      <c r="A45" s="23" t="inlineStr">
        <is>
          <t>追蹤中</t>
        </is>
      </c>
      <c r="B45" s="23" t="inlineStr">
        <is>
          <t>台股</t>
        </is>
      </c>
      <c r="C45" s="75" t="inlineStr">
        <is>
          <t>3533</t>
        </is>
      </c>
      <c r="D45" s="76" t="str">
        <f>IFERROR(INDEX('公司檔案'!$B:$B,MATCH(C45,'公司檔案'!$A:$A,0)),"請先到公司檔案新增")</f>
        <v>嘉澤</v>
      </c>
      <c r="E45" s="25" t="n">
        <v>2550</v>
      </c>
      <c r="F45" s="25" t="n"/>
      <c r="G45" s="30" t="n">
        <v>2400</v>
      </c>
      <c r="H45" s="25" t="n">
        <v>3400</v>
      </c>
      <c r="I45" s="25" t="n">
        <v>3800</v>
      </c>
      <c r="J45" s="25" t="n"/>
      <c r="K45" s="26">
        <f>IF(AND(ISNUMBER(E45),ISNUMBER(H45)),H45/E45-1,"")</f>
        <v>0.333333333333333</v>
      </c>
      <c r="L45" s="27" t="n">
        <v>9</v>
      </c>
      <c r="M45" s="27" t="n"/>
      <c r="N45" s="27" t="n"/>
      <c r="O45" s="28" t="str">
        <f>IF(COUNT(L45:N45)=3,AVERAGE(L45:N45),"")</f>
        <v/>
      </c>
      <c r="P45" s="29" t="n"/>
    </row>
    <row r="46" ht="19" customHeight="1">
      <c r="A46" s="23" t="inlineStr">
        <is>
          <t>追蹤中</t>
        </is>
      </c>
      <c r="B46" s="23" t="inlineStr">
        <is>
          <t>美股</t>
        </is>
      </c>
      <c r="C46" s="75" t="inlineStr">
        <is>
          <t>ALAB</t>
        </is>
      </c>
      <c r="D46" s="76" t="str">
        <f>IFERROR(INDEX('公司檔案'!$B:$B,MATCH(C46,'公司檔案'!$A:$A,0)),"請先到公司檔案新增")</f>
        <v>Astera Labs</v>
      </c>
      <c r="E46" s="30" t="n">
        <v>190</v>
      </c>
      <c r="F46" s="25" t="n"/>
      <c r="G46" s="25" t="n">
        <v>184</v>
      </c>
      <c r="H46" s="25" t="n">
        <v>270</v>
      </c>
      <c r="I46" s="25" t="n">
        <v>330</v>
      </c>
      <c r="J46" s="25" t="n"/>
      <c r="K46" s="26">
        <f>IF(AND(ISNUMBER(E46),ISNUMBER(H46)),H46/E46-1,"")</f>
        <v>0.421052631578947</v>
      </c>
      <c r="L46" s="27" t="n">
        <v>8.9</v>
      </c>
      <c r="M46" s="27" t="n"/>
      <c r="N46" s="27" t="n"/>
      <c r="O46" s="28" t="str">
        <f>IF(COUNT(L46:N46)=3,AVERAGE(L46:N46),"")</f>
        <v/>
      </c>
      <c r="P46" s="29" t="inlineStr">
        <is>
          <t>190-184 建80%部位</t>
        </is>
      </c>
    </row>
    <row r="47" ht="19" customHeight="1">
      <c r="A47" s="23" t="inlineStr">
        <is>
          <t>追蹤中</t>
        </is>
      </c>
      <c r="B47" s="23" t="inlineStr">
        <is>
          <t>美股</t>
        </is>
      </c>
      <c r="C47" s="75" t="inlineStr">
        <is>
          <t>NBIS</t>
        </is>
      </c>
      <c r="D47" s="76" t="str">
        <f>IFERROR(INDEX('公司檔案'!$B:$B,MATCH(C47,'公司檔案'!$A:$A,0)),"請先到公司檔案新增")</f>
        <v>Nebius</v>
      </c>
      <c r="E47" s="25" t="n">
        <v>140</v>
      </c>
      <c r="F47" s="25" t="n"/>
      <c r="G47" s="25" t="n">
        <v>126</v>
      </c>
      <c r="H47" s="30" t="n">
        <v>190</v>
      </c>
      <c r="I47" s="25" t="n">
        <v>240</v>
      </c>
      <c r="J47" s="30" t="n">
        <v>280</v>
      </c>
      <c r="K47" s="26">
        <f>IF(AND(ISNUMBER(E47),ISNUMBER(H47)),H47/E47-1,"")</f>
        <v>0.357142857142857</v>
      </c>
      <c r="L47" s="27" t="n">
        <v>9.300000000000001</v>
      </c>
      <c r="M47" s="27" t="n"/>
      <c r="N47" s="27" t="n"/>
      <c r="O47" s="28" t="str">
        <f>IF(COUNT(L47:N47)=3,AVERAGE(L47:N47),"")</f>
        <v/>
      </c>
      <c r="P47" s="29" t="n"/>
    </row>
    <row r="48" ht="19" customHeight="1">
      <c r="A48" s="23" t="inlineStr">
        <is>
          <t>追蹤中</t>
        </is>
      </c>
      <c r="B48" s="23" t="inlineStr">
        <is>
          <t>日股</t>
        </is>
      </c>
      <c r="C48" s="75" t="inlineStr">
        <is>
          <t>285A</t>
        </is>
      </c>
      <c r="D48" s="76" t="str">
        <f>IFERROR(INDEX('公司檔案'!$B:$B,MATCH(C48,'公司檔案'!$A:$A,0)),"請先到公司檔案新增")</f>
        <v>Kioxia</v>
      </c>
      <c r="E48" s="25" t="n">
        <v>21500</v>
      </c>
      <c r="F48" s="25" t="n">
        <v>20500</v>
      </c>
      <c r="G48" s="25" t="n">
        <v>19500</v>
      </c>
      <c r="H48" s="25" t="n">
        <v>30500</v>
      </c>
      <c r="I48" s="25" t="n">
        <v>37000</v>
      </c>
      <c r="J48" s="25" t="n"/>
      <c r="K48" s="26">
        <f>IF(AND(ISNUMBER(E48),ISNUMBER(H48)),H48/E48-1,"")</f>
        <v>0.418604651162791</v>
      </c>
      <c r="L48" s="27" t="n">
        <v>8.800000000000001</v>
      </c>
      <c r="M48" s="27" t="n"/>
      <c r="N48" s="27" t="n"/>
      <c r="O48" s="28" t="str">
        <f>IF(COUNT(L48:N48)=3,AVERAGE(L48:N48),"")</f>
        <v/>
      </c>
      <c r="P48" s="29" t="n"/>
    </row>
    <row r="49" ht="19" customHeight="1">
      <c r="A49" s="23" t="inlineStr">
        <is>
          <t>追蹤中</t>
        </is>
      </c>
      <c r="B49" s="23" t="inlineStr">
        <is>
          <t>台股</t>
        </is>
      </c>
      <c r="C49" s="75" t="inlineStr">
        <is>
          <t>3529</t>
        </is>
      </c>
      <c r="D49" s="76" t="str">
        <f>IFERROR(INDEX('公司檔案'!$B:$B,MATCH(C49,'公司檔案'!$A:$A,0)),"請先到公司檔案新增")</f>
        <v>力旺</v>
      </c>
      <c r="E49" s="25" t="n">
        <v>2700</v>
      </c>
      <c r="F49" s="25" t="n">
        <v>2580</v>
      </c>
      <c r="G49" s="25" t="n">
        <v>2500</v>
      </c>
      <c r="H49" s="25" t="n">
        <v>3100</v>
      </c>
      <c r="I49" s="25" t="n">
        <v>3500</v>
      </c>
      <c r="J49" s="25" t="n">
        <v>4000</v>
      </c>
      <c r="K49" s="26">
        <f>IF(AND(ISNUMBER(E49),ISNUMBER(H49)),H49/E49-1,"")</f>
        <v>0.148148148148148</v>
      </c>
      <c r="L49" s="27" t="n">
        <v>8.4</v>
      </c>
      <c r="M49" s="27" t="n"/>
      <c r="N49" s="27" t="n"/>
      <c r="O49" s="28" t="str">
        <f>IF(COUNT(L49:N49)=3,AVERAGE(L49:N49),"")</f>
        <v/>
      </c>
      <c r="P49" s="29" t="n"/>
    </row>
    <row r="50" ht="19" customHeight="1">
      <c r="A50" s="23" t="inlineStr">
        <is>
          <t>追蹤中</t>
        </is>
      </c>
      <c r="B50" s="23" t="inlineStr">
        <is>
          <t>日股</t>
        </is>
      </c>
      <c r="C50" s="75" t="inlineStr">
        <is>
          <t>3110</t>
        </is>
      </c>
      <c r="D50" s="76" t="str">
        <f>IFERROR(INDEX('公司檔案'!$B:$B,MATCH(C50,'公司檔案'!$A:$A,0)),"請先到公司檔案新增")</f>
        <v>日東紡</v>
      </c>
      <c r="E50" s="30" t="n">
        <v>22000</v>
      </c>
      <c r="F50" s="25" t="n">
        <v>20800</v>
      </c>
      <c r="G50" s="25" t="n">
        <v>19100</v>
      </c>
      <c r="H50" s="25" t="n">
        <v>33000</v>
      </c>
      <c r="I50" s="25" t="n">
        <v>38000</v>
      </c>
      <c r="J50" s="25" t="n"/>
      <c r="K50" s="26">
        <f>IF(AND(ISNUMBER(E50),ISNUMBER(H50)),H50/E50-1,"")</f>
        <v>0.5</v>
      </c>
      <c r="L50" s="27" t="n">
        <v>8.9</v>
      </c>
      <c r="M50" s="27" t="n"/>
      <c r="N50" s="27" t="n"/>
      <c r="O50" s="28" t="str">
        <f>IF(COUNT(L50:N50)=3,AVERAGE(L50:N50),"")</f>
        <v/>
      </c>
      <c r="P50" s="29" t="n"/>
    </row>
    <row r="51" ht="19" customHeight="1">
      <c r="A51" s="23" t="inlineStr">
        <is>
          <t>追蹤中</t>
        </is>
      </c>
      <c r="B51" s="23" t="inlineStr">
        <is>
          <t>美股</t>
        </is>
      </c>
      <c r="C51" s="75" t="inlineStr">
        <is>
          <t>AAOI</t>
        </is>
      </c>
      <c r="D51" s="76" t="str">
        <f>IFERROR(INDEX('公司檔案'!$B:$B,MATCH(C51,'公司檔案'!$A:$A,0)),"請先到公司檔案新增")</f>
        <v>Applied Opto</v>
      </c>
      <c r="E51" s="25" t="n"/>
      <c r="F51" s="25" t="n"/>
      <c r="G51" s="25" t="n"/>
      <c r="H51" s="25" t="n">
        <v>44</v>
      </c>
      <c r="I51" s="25" t="n">
        <v>52</v>
      </c>
      <c r="J51" s="25" t="n">
        <v>78</v>
      </c>
      <c r="K51" s="26" t="str">
        <f>IF(AND(ISNUMBER(E51),ISNUMBER(H51)),H51/E51-1,"")</f>
        <v/>
      </c>
      <c r="L51" s="27" t="n"/>
      <c r="M51" s="27" t="n"/>
      <c r="N51" s="27" t="n"/>
      <c r="O51" s="28" t="str">
        <f>IF(COUNT(L51:N51)=3,AVERAGE(L51:N51),"")</f>
        <v/>
      </c>
      <c r="P51" s="29" t="n"/>
    </row>
    <row r="52" ht="19" customHeight="1">
      <c r="A52" s="23" t="inlineStr">
        <is>
          <t>追蹤中</t>
        </is>
      </c>
      <c r="B52" s="23" t="inlineStr">
        <is>
          <t>美股</t>
        </is>
      </c>
      <c r="C52" s="75" t="inlineStr">
        <is>
          <t>SNDK</t>
        </is>
      </c>
      <c r="D52" s="76" t="str">
        <f>IFERROR(INDEX('公司檔案'!$B:$B,MATCH(C52,'公司檔案'!$A:$A,0)),"請先到公司檔案新增")</f>
        <v>Sandisk</v>
      </c>
      <c r="E52" s="30" t="n">
        <v>217</v>
      </c>
      <c r="F52" s="25" t="n"/>
      <c r="G52" s="25" t="n">
        <v>190</v>
      </c>
      <c r="H52" s="25" t="n">
        <v>300</v>
      </c>
      <c r="I52" s="25" t="n">
        <v>350</v>
      </c>
      <c r="J52" s="25" t="n"/>
      <c r="K52" s="26">
        <f>IF(AND(ISNUMBER(E52),ISNUMBER(H52)),H52/E52-1,"")</f>
        <v>0.382488479262673</v>
      </c>
      <c r="L52" s="27" t="n"/>
      <c r="M52" s="27" t="n"/>
      <c r="N52" s="27" t="n"/>
      <c r="O52" s="28" t="str">
        <f>IF(COUNT(L52:N52)=3,AVERAGE(L52:N52),"")</f>
        <v/>
      </c>
      <c r="P52" s="29" t="n"/>
    </row>
    <row r="53" ht="19" customHeight="1">
      <c r="A53" s="23" t="inlineStr">
        <is>
          <t>追蹤中</t>
        </is>
      </c>
      <c r="B53" s="23" t="inlineStr">
        <is>
          <t>美股</t>
        </is>
      </c>
      <c r="C53" s="75" t="inlineStr">
        <is>
          <t>CRDO</t>
        </is>
      </c>
      <c r="D53" s="76" t="str">
        <f>IFERROR(INDEX('公司檔案'!$B:$B,MATCH(C53,'公司檔案'!$A:$A,0)),"請先到公司檔案新增")</f>
        <v>Credo</v>
      </c>
      <c r="E53" s="30" t="n">
        <v>177</v>
      </c>
      <c r="F53" s="25" t="n">
        <v>165</v>
      </c>
      <c r="G53" s="25" t="n">
        <v>153</v>
      </c>
      <c r="H53" s="25" t="n">
        <v>250</v>
      </c>
      <c r="I53" s="25" t="n"/>
      <c r="J53" s="25" t="n"/>
      <c r="K53" s="26">
        <f>IF(AND(ISNUMBER(E53),ISNUMBER(H53)),H53/E53-1,"")</f>
        <v>0.412429378531074</v>
      </c>
      <c r="L53" s="27" t="n"/>
      <c r="M53" s="27" t="n"/>
      <c r="N53" s="27" t="n"/>
      <c r="O53" s="28" t="str">
        <f>IF(COUNT(L53:N53)=3,AVERAGE(L53:N53),"")</f>
        <v/>
      </c>
      <c r="P53" s="29" t="n"/>
    </row>
    <row r="54" ht="19" customHeight="1">
      <c r="A54" s="23" t="inlineStr">
        <is>
          <t>追蹤中</t>
        </is>
      </c>
      <c r="B54" s="23" t="inlineStr">
        <is>
          <t>美股</t>
        </is>
      </c>
      <c r="C54" s="75" t="inlineStr">
        <is>
          <t>LITE</t>
        </is>
      </c>
      <c r="D54" s="76" t="str">
        <f>IFERROR(INDEX('公司檔案'!$B:$B,MATCH(C54,'公司檔案'!$A:$A,0)),"請先到公司檔案新增")</f>
        <v>Lumentum</v>
      </c>
      <c r="E54" s="25" t="n">
        <v>300</v>
      </c>
      <c r="F54" s="25" t="n">
        <v>285</v>
      </c>
      <c r="G54" s="30" t="n">
        <v>270</v>
      </c>
      <c r="H54" s="25" t="n">
        <v>330</v>
      </c>
      <c r="I54" s="25" t="n">
        <v>380</v>
      </c>
      <c r="J54" s="25" t="n"/>
      <c r="K54" s="26">
        <f>IF(AND(ISNUMBER(E54),ISNUMBER(H54)),H54/E54-1,"")</f>
        <v>0.1</v>
      </c>
      <c r="L54" s="27" t="n"/>
      <c r="M54" s="27" t="n"/>
      <c r="N54" s="27" t="n"/>
      <c r="O54" s="28" t="str">
        <f>IF(COUNT(L54:N54)=3,AVERAGE(L54:N54),"")</f>
        <v/>
      </c>
      <c r="P54" s="29" t="n"/>
    </row>
    <row r="55" ht="19" customHeight="1">
      <c r="A55" s="23" t="inlineStr">
        <is>
          <t>追蹤中</t>
        </is>
      </c>
      <c r="B55" s="23" t="inlineStr">
        <is>
          <t>日股</t>
        </is>
      </c>
      <c r="C55" s="75" t="inlineStr">
        <is>
          <t>285A</t>
        </is>
      </c>
      <c r="D55" s="76" t="str">
        <f>IFERROR(INDEX('公司檔案'!$B:$B,MATCH(C55,'公司檔案'!$A:$A,0)),"請先到公司檔案新增")</f>
        <v>Kioxia</v>
      </c>
      <c r="E55" s="25" t="n">
        <v>10150</v>
      </c>
      <c r="F55" s="25" t="n">
        <v>9500</v>
      </c>
      <c r="G55" s="25" t="n"/>
      <c r="H55" s="25" t="n">
        <v>11000</v>
      </c>
      <c r="I55" s="25" t="n">
        <v>13000</v>
      </c>
      <c r="J55" s="25" t="n">
        <v>16050</v>
      </c>
      <c r="K55" s="26">
        <f>IF(AND(ISNUMBER(E55),ISNUMBER(H55)),H55/E55-1,"")</f>
        <v>0.083743842364532</v>
      </c>
      <c r="L55" s="27" t="n"/>
      <c r="M55" s="27" t="n"/>
      <c r="N55" s="27" t="n"/>
      <c r="O55" s="28" t="str">
        <f>IF(COUNT(L55:N55)=3,AVERAGE(L55:N55),"")</f>
        <v/>
      </c>
      <c r="P55" s="29" t="n"/>
    </row>
    <row r="56" ht="19" customHeight="1">
      <c r="A56" s="23" t="inlineStr">
        <is>
          <t>追蹤中</t>
        </is>
      </c>
      <c r="B56" s="23" t="inlineStr">
        <is>
          <t>美股</t>
        </is>
      </c>
      <c r="C56" s="75" t="inlineStr">
        <is>
          <t>ALAB</t>
        </is>
      </c>
      <c r="D56" s="76" t="str">
        <f>IFERROR(INDEX('公司檔案'!$B:$B,MATCH(C56,'公司檔案'!$A:$A,0)),"請先到公司檔案新增")</f>
        <v>Astera Labs</v>
      </c>
      <c r="E56" s="30" t="n">
        <v>173</v>
      </c>
      <c r="F56" s="25" t="n">
        <v>157</v>
      </c>
      <c r="G56" s="25" t="n">
        <v>145</v>
      </c>
      <c r="H56" s="25" t="n">
        <v>240</v>
      </c>
      <c r="I56" s="25" t="n">
        <v>290</v>
      </c>
      <c r="J56" s="25" t="n"/>
      <c r="K56" s="26">
        <f>IF(AND(ISNUMBER(E56),ISNUMBER(H56)),H56/E56-1,"")</f>
        <v>0.38728323699422</v>
      </c>
      <c r="L56" s="27" t="n"/>
      <c r="M56" s="27" t="n"/>
      <c r="N56" s="27" t="n"/>
      <c r="O56" s="28" t="str">
        <f>IF(COUNT(L56:N56)=3,AVERAGE(L56:N56),"")</f>
        <v/>
      </c>
      <c r="P56" s="29" t="n"/>
    </row>
  </sheetData>
  <mergeCells count="4">
    <mergeCell ref="A1:D1"/>
    <mergeCell ref="H1:K1"/>
    <mergeCell ref="E1:G1"/>
    <mergeCell ref="L1:O1"/>
  </mergeCells>
  <conditionalFormatting sqref="C3:C56">
    <cfRule type="expression" priority="1" dxfId="0">
      <formula>COUNTIF($C$3:$C$56,$C3)&gt;1</formula>
    </cfRule>
  </conditionalFormatting>
  <conditionalFormatting sqref="A3:A56">
    <cfRule type="expression" priority="2" dxfId="1">
      <formula>$A3="今日即時"</formula>
    </cfRule>
  </conditionalFormatting>
  <conditionalFormatting sqref="O3:O56">
    <cfRule type="colorScale" priority="3">
      <colorScale>
        <cfvo type="num" val="7"/>
        <cfvo type="num" val="8.5"/>
        <cfvo type="num" val="10"/>
        <color rgb="00F8696B"/>
        <color rgb="00FFEB84"/>
        <color rgb="0063BE7B"/>
      </colorScale>
    </cfRule>
  </conditionalFormatting>
  <dataValidations count="4">
    <dataValidation sqref="A3:A56" showDropDown="0" showInputMessage="0" showErrorMessage="0" allowBlank="1" type="list">
      <formula1>"今日即時,追蹤中,已出場"</formula1>
    </dataValidation>
    <dataValidation sqref="B3:B56" showDropDown="0" showInputMessage="0" showErrorMessage="0" allowBlank="1" type="list">
      <formula1>"台股,美股,日股"</formula1>
    </dataValidation>
    <dataValidation sqref="L3:N56" showDropDown="0" showInputMessage="0" showErrorMessage="1" allowBlank="1" errorTitle="評分範圍" error="請輸入 0 到 10 之間的數字" type="decimal" operator="between">
      <formula1>0</formula1>
      <formula2>10</formula2>
    </dataValidation>
    <dataValidation sqref="E3:J56" showDropDown="0" showInputMessage="0" showErrorMessage="1" allowBlank="1" errorTitle="價位只能放數字" error="這欄只放數字；像「附近、區間、147X」這類說明請寫在「備註」欄" type="decimal" operator="greaterThan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tabSelected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7" customWidth="1" min="3" max="3"/>
    <col width="15" customWidth="1" min="4" max="4"/>
    <col width="11" customWidth="1" min="5" max="5"/>
    <col width="30" customWidth="1" min="6" max="6"/>
    <col width="60" customWidth="1" min="7" max="7"/>
    <col width="28" customWidth="1" min="8" max="8"/>
    <col width="60" customWidth="1" min="9" max="9"/>
    <col width="11" customWidth="1" min="10" max="10"/>
  </cols>
  <sheetData>
    <row r="1" ht="24" customHeight="1">
      <c r="A1" s="77" t="inlineStr">
        <is>
          <t>代號</t>
        </is>
      </c>
      <c r="B1" s="77" t="inlineStr">
        <is>
          <t>名稱</t>
        </is>
      </c>
      <c r="C1" s="77" t="inlineStr">
        <is>
          <t>市場</t>
        </is>
      </c>
      <c r="D1" s="77" t="inlineStr">
        <is>
          <t>產業</t>
        </is>
      </c>
      <c r="E1" s="77" t="inlineStr">
        <is>
          <t>股本(億元)</t>
        </is>
      </c>
      <c r="F1" s="77" t="inlineStr">
        <is>
          <t>一句話定位</t>
        </is>
      </c>
      <c r="G1" s="77" t="inlineStr">
        <is>
          <t>主要業務</t>
        </is>
      </c>
      <c r="H1" s="77" t="inlineStr">
        <is>
          <t>AI 題材</t>
        </is>
      </c>
      <c r="I1" s="77" t="inlineStr">
        <is>
          <t>AI 題材說明</t>
        </is>
      </c>
      <c r="J1" s="77" t="inlineStr">
        <is>
          <t>資料日期</t>
        </is>
      </c>
    </row>
    <row r="2">
      <c r="A2" s="78" t="inlineStr">
        <is>
          <t>6147</t>
        </is>
      </c>
      <c r="B2" s="79" t="inlineStr">
        <is>
          <t>頎邦</t>
        </is>
      </c>
      <c r="C2" s="80" t="inlineStr">
        <is>
          <t>台股</t>
        </is>
      </c>
      <c r="D2" s="79" t="inlineStr">
        <is>
          <t>半導體封測</t>
        </is>
      </c>
      <c r="E2" s="81" t="n">
        <v>74.45999999999999</v>
      </c>
      <c r="F2" s="82" t="inlineStr">
        <is>
          <t>驅動 IC 金凸塊與 COF 封測龍頭</t>
        </is>
      </c>
      <c r="G2" s="82" t="inlineStr">
        <is>
          <t>專做面板驅動 IC 的金凸塊（Gold Bumping）、晶圓測試，以及 COF、COG 等捲帶與玻璃覆晶封裝，是 LCD／OLED 驅動 IC 後段製程的主要供應商。</t>
        </is>
      </c>
      <c r="H2" s="83" t="inlineStr">
        <is>
          <t>矽光子、CPO、LDDI</t>
        </is>
      </c>
      <c r="I2" s="82" t="inlineStr">
        <is>
          <t>市場關注點是凸塊技術延伸到矽光子／共同封裝光學（CPO）元件的封裝，以及大尺寸驅動 IC（LDDI）需求回溫。</t>
        </is>
      </c>
      <c r="J2" s="84" t="n">
        <v>46302</v>
      </c>
    </row>
    <row r="3">
      <c r="A3" s="78" t="inlineStr">
        <is>
          <t>3037</t>
        </is>
      </c>
      <c r="B3" s="79" t="inlineStr">
        <is>
          <t>欣興</t>
        </is>
      </c>
      <c r="C3" s="80" t="inlineStr">
        <is>
          <t>台股</t>
        </is>
      </c>
      <c r="D3" s="79" t="inlineStr">
        <is>
          <t>PCB／IC 載板</t>
        </is>
      </c>
      <c r="E3" s="81" t="n">
        <v>164.13</v>
      </c>
      <c r="F3" s="82" t="inlineStr">
        <is>
          <t>ABF 載板與高階 PCB 龍頭</t>
        </is>
      </c>
      <c r="G3" s="82" t="inlineStr">
        <is>
          <t>全球主要的 IC 載板（ABF、BT）與 HDI、軟硬板廠，客戶涵蓋 CPU、GPU 與網通晶片大廠。</t>
        </is>
      </c>
      <c r="H3" s="83" t="inlineStr">
        <is>
          <t>ABF 載板、AI GPU、ASIC</t>
        </is>
      </c>
      <c r="I3" s="82" t="inlineStr">
        <is>
          <t>AI 加速器晶片面積大、層數高，帶動高階 ABF 載板用量與單價，是 AI 伺服器上游的關鍵材料供應鏈。</t>
        </is>
      </c>
      <c r="J3" s="84" t="n">
        <v>46302</v>
      </c>
    </row>
    <row r="4">
      <c r="A4" s="78" t="inlineStr">
        <is>
          <t>2344</t>
        </is>
      </c>
      <c r="B4" s="79" t="inlineStr">
        <is>
          <t>華邦電</t>
        </is>
      </c>
      <c r="C4" s="80" t="inlineStr">
        <is>
          <t>台股</t>
        </is>
      </c>
      <c r="D4" s="79" t="inlineStr">
        <is>
          <t>記憶體</t>
        </is>
      </c>
      <c r="E4" s="81" t="n">
        <v>450</v>
      </c>
      <c r="F4" s="82" t="inlineStr">
        <is>
          <t>利基型 DRAM 與 NOR／NAND Flash</t>
        </is>
      </c>
      <c r="G4" s="82" t="inlineStr">
        <is>
          <t>自有晶圓廠的記憶體公司，產品包括利基型 DRAM、Code Storage Flash（NOR、SLC NAND），應用在消費性、車用、工控與網通。</t>
        </is>
      </c>
      <c r="H4" s="83" t="inlineStr">
        <is>
          <t>記憶體漲價、CUBE、邊緣 AI</t>
        </is>
      </c>
      <c r="I4" s="82" t="inlineStr">
        <is>
          <t>受惠於大廠把產能轉向 HBM 造成的利基型 DRAM 供給吃緊；自家 CUBE 客製化高頻寬記憶體鎖定邊緣 AI 裝置。</t>
        </is>
      </c>
      <c r="J4" s="84" t="n">
        <v>46302</v>
      </c>
    </row>
    <row r="5">
      <c r="A5" s="78" t="inlineStr">
        <is>
          <t>6531</t>
        </is>
      </c>
      <c r="B5" s="79" t="inlineStr">
        <is>
          <t>愛普</t>
        </is>
      </c>
      <c r="C5" s="80" t="inlineStr">
        <is>
          <t>台股</t>
        </is>
      </c>
      <c r="D5" s="79" t="inlineStr">
        <is>
          <t>IC 設計／記憶體 IP</t>
        </is>
      </c>
      <c r="E5" s="81" t="n">
        <v>8.16</v>
      </c>
      <c r="F5" s="82" t="inlineStr">
        <is>
          <t>PSRAM 與矽電容，打進先進封裝</t>
        </is>
      </c>
      <c r="G5" s="82" t="inlineStr">
        <is>
          <t>以 IoT 用的低功耗 PSRAM 起家，另發展 AI 用的客製化記憶體（VHM）與矽電容（S-SiCap）。</t>
        </is>
      </c>
      <c r="H5" s="83" t="inlineStr">
        <is>
          <t>矽電容、CoWoS、HBM 周邊</t>
        </is>
      </c>
      <c r="I5" s="82" t="inlineStr">
        <is>
          <t>矽電容可整合進 CoWoS 等先進封裝做為電源去耦，是 AI 晶片供電穩定的關鍵零件之一。</t>
        </is>
      </c>
      <c r="J5" s="84" t="n">
        <v>46302</v>
      </c>
    </row>
    <row r="6">
      <c r="A6" s="78" t="inlineStr">
        <is>
          <t>3653</t>
        </is>
      </c>
      <c r="B6" s="79" t="inlineStr">
        <is>
          <t>健策</t>
        </is>
      </c>
      <c r="C6" s="80" t="inlineStr">
        <is>
          <t>台股</t>
        </is>
      </c>
      <c r="D6" s="79" t="inlineStr">
        <is>
          <t>散熱</t>
        </is>
      </c>
      <c r="E6" s="81" t="n">
        <v>14.72</v>
      </c>
      <c r="F6" s="82" t="inlineStr">
        <is>
          <t>均熱片與液冷散熱模組</t>
        </is>
      </c>
      <c r="G6" s="82" t="inlineStr">
        <is>
          <t>精密沖壓與散熱零件廠，主力為 CPU／GPU 均熱片（Lid）、IGBT 散熱基板，並延伸到液冷相關元件。</t>
        </is>
      </c>
      <c r="H6" s="83" t="inlineStr">
        <is>
          <t>均熱片、液冷、AI 伺服器</t>
        </is>
      </c>
      <c r="I6" s="82" t="inlineStr">
        <is>
          <t>AI GPU 與 ASIC 功耗大增，高階均熱片和液冷冷板、分歧管需求上升，健策是主要供應商。</t>
        </is>
      </c>
      <c r="J6" s="84" t="n">
        <v>46302</v>
      </c>
    </row>
    <row r="7">
      <c r="A7" s="78" t="inlineStr">
        <is>
          <t>3665</t>
        </is>
      </c>
      <c r="B7" s="79" t="inlineStr">
        <is>
          <t>貿聯-KY</t>
        </is>
      </c>
      <c r="C7" s="80" t="inlineStr">
        <is>
          <t>台股</t>
        </is>
      </c>
      <c r="D7" s="79" t="inlineStr">
        <is>
          <t>線材／連接器</t>
        </is>
      </c>
      <c r="E7" s="81" t="n">
        <v>19.96</v>
      </c>
      <c r="F7" s="82" t="inlineStr">
        <is>
          <t>高速線束與伺服器連接線組</t>
        </is>
      </c>
      <c r="G7" s="82" t="inlineStr">
        <is>
          <t>線束與連接線組廠，產品涵蓋電腦週邊、車用、醫療、工業與資料中心用線材。</t>
        </is>
      </c>
      <c r="H7" s="83" t="inlineStr">
        <is>
          <t>高速傳輸線、AI 伺服器、電源線束</t>
        </is>
      </c>
      <c r="I7" s="82" t="inlineStr">
        <is>
          <t>AI 伺服器機櫃內部大量使用高速銅纜與電源線束，貿聯是一線 GPU 伺服器供應鏈。</t>
        </is>
      </c>
      <c r="J7" s="84" t="n">
        <v>46302</v>
      </c>
    </row>
    <row r="8">
      <c r="A8" s="78" t="inlineStr">
        <is>
          <t>3595</t>
        </is>
      </c>
      <c r="B8" s="79" t="inlineStr">
        <is>
          <t>山太士</t>
        </is>
      </c>
      <c r="C8" s="80" t="inlineStr">
        <is>
          <t>台股</t>
        </is>
      </c>
      <c r="D8" s="79" t="inlineStr">
        <is>
          <t>製程材料</t>
        </is>
      </c>
      <c r="E8" s="85" t="n"/>
      <c r="F8" s="82" t="inlineStr">
        <is>
          <t>面板與先進封裝製程保護膜</t>
        </is>
      </c>
      <c r="G8" s="82" t="inlineStr">
        <is>
          <t>製程用保護膜與耗材供應商，從面板製程材料延伸到半導體先進封裝製程。</t>
        </is>
      </c>
      <c r="H8" s="83" t="inlineStr">
        <is>
          <t>先進封裝材料、CoWoS</t>
        </is>
      </c>
      <c r="I8" s="82" t="inlineStr">
        <is>
          <t>市場關注其先進封裝製程材料打入晶圓代工供應鏈，隨 CoWoS 擴產成長。</t>
        </is>
      </c>
      <c r="J8" s="84" t="n"/>
    </row>
    <row r="9">
      <c r="A9" s="78" t="inlineStr">
        <is>
          <t>3081</t>
        </is>
      </c>
      <c r="B9" s="79" t="inlineStr">
        <is>
          <t>聯亞</t>
        </is>
      </c>
      <c r="C9" s="80" t="inlineStr">
        <is>
          <t>台股</t>
        </is>
      </c>
      <c r="D9" s="79" t="inlineStr">
        <is>
          <t>光通訊磊晶</t>
        </is>
      </c>
      <c r="E9" s="81" t="n">
        <v>9.25</v>
      </c>
      <c r="F9" s="82" t="inlineStr">
        <is>
          <t>InP 雷射與檢光磊晶片</t>
        </is>
      </c>
      <c r="G9" s="82" t="inlineStr">
        <is>
          <t>研發生產雷射磊晶片與檢光器磊晶片（InP 為主），是光通訊雷射晶片的上游。</t>
        </is>
      </c>
      <c r="H9" s="83" t="inlineStr">
        <is>
          <t>矽光子、CW 雷射、800G／1.6T</t>
        </is>
      </c>
      <c r="I9" s="82" t="inlineStr">
        <is>
          <t>矽光子與 CPO 需要大量高功率 CW 雷射光源，資料中心光模組升級到 800G、1.6T 帶動磊晶需求。</t>
        </is>
      </c>
      <c r="J9" s="84" t="n">
        <v>46302</v>
      </c>
    </row>
    <row r="10">
      <c r="A10" s="78" t="inlineStr">
        <is>
          <t>2327</t>
        </is>
      </c>
      <c r="B10" s="79" t="inlineStr">
        <is>
          <t>國巨</t>
        </is>
      </c>
      <c r="C10" s="80" t="inlineStr">
        <is>
          <t>台股</t>
        </is>
      </c>
      <c r="D10" s="79" t="inlineStr">
        <is>
          <t>被動元件</t>
        </is>
      </c>
      <c r="E10" s="81" t="n">
        <v>51.47</v>
      </c>
      <c r="F10" s="82" t="inlineStr">
        <is>
          <t>全球被動元件龍頭</t>
        </is>
      </c>
      <c r="G10" s="82" t="inlineStr">
        <is>
          <t>被動元件大廠，產品包括晶片電阻、MLCC、鉭質電容、電感、天線與感測器，並透過併購擴大車用與工業比重。</t>
        </is>
      </c>
      <c r="H10" s="83" t="inlineStr">
        <is>
          <t>AI 伺服器 MLCC、鉭電容、電源管理</t>
        </is>
      </c>
      <c r="I10" s="82" t="inlineStr">
        <is>
          <t>AI 伺服器單機用的高階 MLCC 與鉭電容數量是一般伺服器的數倍，高容值、高耐壓產品吃緊。</t>
        </is>
      </c>
      <c r="J10" s="84" t="n">
        <v>46302</v>
      </c>
    </row>
    <row r="11">
      <c r="A11" s="78" t="inlineStr">
        <is>
          <t>3533</t>
        </is>
      </c>
      <c r="B11" s="79" t="inlineStr">
        <is>
          <t>嘉澤</t>
        </is>
      </c>
      <c r="C11" s="80" t="inlineStr">
        <is>
          <t>台股</t>
        </is>
      </c>
      <c r="D11" s="79" t="inlineStr">
        <is>
          <t>連接器</t>
        </is>
      </c>
      <c r="E11" s="81" t="n">
        <v>11.25</v>
      </c>
      <c r="F11" s="82" t="inlineStr">
        <is>
          <t>CPU／GPU Socket 連接器</t>
        </is>
      </c>
      <c r="G11" s="82" t="inlineStr">
        <is>
          <t>專做 CPU Socket、高速連接器、記憶體插槽等連接器產品，主要客戶為 CPU 與伺服器大廠。</t>
        </is>
      </c>
      <c r="H11" s="83" t="inlineStr">
        <is>
          <t>GPU Socket、高速連接器、AI 伺服器</t>
        </is>
      </c>
      <c r="I11" s="82" t="inlineStr">
        <is>
          <t>AI 伺服器 GPU 模組與 CPU 平台世代更替，Socket 與高速背板連接器規格、單價同步提升。</t>
        </is>
      </c>
      <c r="J11" s="84" t="n">
        <v>46302</v>
      </c>
    </row>
    <row r="12">
      <c r="A12" s="78" t="inlineStr">
        <is>
          <t>6907</t>
        </is>
      </c>
      <c r="B12" s="79" t="inlineStr">
        <is>
          <t>雅特力-KY</t>
        </is>
      </c>
      <c r="C12" s="80" t="inlineStr">
        <is>
          <t>台股</t>
        </is>
      </c>
      <c r="D12" s="79" t="inlineStr">
        <is>
          <t>IC 設計</t>
        </is>
      </c>
      <c r="E12" s="81" t="n">
        <v>6.25</v>
      </c>
      <c r="F12" s="82" t="inlineStr">
        <is>
          <t>ARM 架構 MCU 設計</t>
        </is>
      </c>
      <c r="G12" s="82" t="inlineStr">
        <is>
          <t>微控制器（MCU）IC 設計公司，產品以 ARM Cortex-M 架構為主，用於工控、消費性電子與馬達控制。</t>
        </is>
      </c>
      <c r="H12" s="83" t="inlineStr">
        <is>
          <t>MCU、邊緣 AI</t>
        </is>
      </c>
      <c r="I12" s="82" t="inlineStr">
        <is>
          <t>AI 直接題材較少，主要看 MCU 庫存回補與邊緣運算裝置需求。</t>
        </is>
      </c>
      <c r="J12" s="84" t="n">
        <v>46302</v>
      </c>
    </row>
    <row r="13">
      <c r="A13" s="78" t="inlineStr">
        <is>
          <t>7769</t>
        </is>
      </c>
      <c r="B13" s="79" t="inlineStr">
        <is>
          <t>鴻勁</t>
        </is>
      </c>
      <c r="C13" s="80" t="inlineStr">
        <is>
          <t>台股</t>
        </is>
      </c>
      <c r="D13" s="79" t="inlineStr">
        <is>
          <t>半導體設備</t>
        </is>
      </c>
      <c r="E13" s="81" t="n">
        <v>17.99</v>
      </c>
      <c r="F13" s="82" t="inlineStr">
        <is>
          <t>IC 測試分選機與溫控方案</t>
        </is>
      </c>
      <c r="G13" s="82" t="inlineStr">
        <is>
          <t>IC 測試分選機（Handler）及整合性解決方案，具備主動溫控技術。</t>
        </is>
      </c>
      <c r="H13" s="83" t="inlineStr">
        <is>
          <t>AI 晶片測試、主動溫控、測試時間拉長</t>
        </is>
      </c>
      <c r="I13" s="82" t="inlineStr">
        <is>
          <t>AI 晶片功耗高、測試時間長，需要具主動溫控的分選機，測試設備數量與單價同步提升。</t>
        </is>
      </c>
      <c r="J13" s="84" t="n">
        <v>46302</v>
      </c>
    </row>
    <row r="14">
      <c r="A14" s="78" t="inlineStr">
        <is>
          <t>6190</t>
        </is>
      </c>
      <c r="B14" s="79" t="inlineStr">
        <is>
          <t>萬泰科</t>
        </is>
      </c>
      <c r="C14" s="80" t="inlineStr">
        <is>
          <t>台股</t>
        </is>
      </c>
      <c r="D14" s="79" t="inlineStr">
        <is>
          <t>線材</t>
        </is>
      </c>
      <c r="E14" s="81" t="n">
        <v>18.65</v>
      </c>
      <c r="F14" s="82" t="inlineStr">
        <is>
          <t>網路線、電源線與電子線材</t>
        </is>
      </c>
      <c r="G14" s="82" t="inlineStr">
        <is>
          <t>生產區域網路線、電子線、汽機車用線與電源線。</t>
        </is>
      </c>
      <c r="H14" s="83" t="inlineStr">
        <is>
          <t>資料中心線材</t>
        </is>
      </c>
      <c r="I14" s="82" t="inlineStr">
        <is>
          <t>題材在資料中心網路與電源線材需求，屬 AI 伺服器周邊。</t>
        </is>
      </c>
      <c r="J14" s="84" t="n">
        <v>46302</v>
      </c>
    </row>
    <row r="15">
      <c r="A15" s="78" t="inlineStr">
        <is>
          <t>3529</t>
        </is>
      </c>
      <c r="B15" s="79" t="inlineStr">
        <is>
          <t>力旺</t>
        </is>
      </c>
      <c r="C15" s="80" t="inlineStr">
        <is>
          <t>台股</t>
        </is>
      </c>
      <c r="D15" s="79" t="inlineStr">
        <is>
          <t>矽智財 IP</t>
        </is>
      </c>
      <c r="E15" s="81" t="n">
        <v>7.47</v>
      </c>
      <c r="F15" s="82" t="inlineStr">
        <is>
          <t>嵌入式非揮發記憶體 IP</t>
        </is>
      </c>
      <c r="G15" s="82" t="inlineStr">
        <is>
          <t>嵌入式非揮發記憶體（NeoBit、NeoFuse OTP 等）IP 授權與技術服務，收入來自授權金與權利金。</t>
        </is>
      </c>
      <c r="H15" s="83" t="inlineStr">
        <is>
          <t>先進製程 IP、PUF 安全、權利金</t>
        </is>
      </c>
      <c r="I15" s="82" t="inlineStr">
        <is>
          <t>AI 晶片多採先進製程，力旺 IP 隨晶圓投片收取權利金；PUF 硬體安全方案受關注。</t>
        </is>
      </c>
      <c r="J15" s="84" t="n">
        <v>46302</v>
      </c>
    </row>
    <row r="16">
      <c r="A16" s="78" t="inlineStr">
        <is>
          <t>2337</t>
        </is>
      </c>
      <c r="B16" s="79" t="inlineStr">
        <is>
          <t>旺宏</t>
        </is>
      </c>
      <c r="C16" s="80" t="inlineStr">
        <is>
          <t>台股</t>
        </is>
      </c>
      <c r="D16" s="79" t="inlineStr">
        <is>
          <t>記憶體</t>
        </is>
      </c>
      <c r="E16" s="81" t="n">
        <v>198.19</v>
      </c>
      <c r="F16" s="82" t="inlineStr">
        <is>
          <t>NOR Flash 與 ROM 大廠</t>
        </is>
      </c>
      <c r="G16" s="82" t="inlineStr">
        <is>
          <t>非揮發性記憶體 IDM，主力為 NOR Flash、NAND Flash 與 ROM，應用於消費性、車用、工控。</t>
        </is>
      </c>
      <c r="H16" s="83" t="inlineStr">
        <is>
          <t>記憶體漲價、NOR Flash、AI 伺服器</t>
        </is>
      </c>
      <c r="I16" s="82" t="inlineStr">
        <is>
          <t>記憶體報價循環向上，AI 伺服器與 AI PC 對 NOR Flash 容量需求提高。</t>
        </is>
      </c>
      <c r="J16" s="84" t="n">
        <v>46302</v>
      </c>
    </row>
    <row r="17">
      <c r="A17" s="78" t="inlineStr">
        <is>
          <t>6139</t>
        </is>
      </c>
      <c r="B17" s="79" t="inlineStr">
        <is>
          <t>亞翔</t>
        </is>
      </c>
      <c r="C17" s="80" t="inlineStr">
        <is>
          <t>台股</t>
        </is>
      </c>
      <c r="D17" s="79" t="inlineStr">
        <is>
          <t>廠務工程</t>
        </is>
      </c>
      <c r="E17" s="81" t="n">
        <v>23.56</v>
      </c>
      <c r="F17" s="82" t="inlineStr">
        <is>
          <t>無塵室機電整合工程</t>
        </is>
      </c>
      <c r="G17" s="82" t="inlineStr">
        <is>
          <t>高科技廠房無塵室、機電與製程管線的設計建造，客戶以晶圓廠、面板廠與生技廠為主。</t>
        </is>
      </c>
      <c r="H17" s="83" t="inlineStr">
        <is>
          <t>晶圓廠擴廠、先進封裝廠</t>
        </is>
      </c>
      <c r="I17" s="82" t="inlineStr">
        <is>
          <t>AI 帶動晶圓代工與先進封裝擴產，國內外新廠的無塵室工程是主要訂單來源。</t>
        </is>
      </c>
      <c r="J17" s="84" t="n">
        <v>46302</v>
      </c>
    </row>
    <row r="18">
      <c r="A18" s="78" t="inlineStr">
        <is>
          <t>3376</t>
        </is>
      </c>
      <c r="B18" s="79" t="inlineStr">
        <is>
          <t>新日興</t>
        </is>
      </c>
      <c r="C18" s="80" t="inlineStr">
        <is>
          <t>台股</t>
        </is>
      </c>
      <c r="D18" s="79" t="inlineStr">
        <is>
          <t>機構件</t>
        </is>
      </c>
      <c r="E18" s="81" t="n">
        <v>19.58</v>
      </c>
      <c r="F18" s="82" t="inlineStr">
        <is>
          <t>筆電與手機樞紐（轉軸）</t>
        </is>
      </c>
      <c r="G18" s="82" t="inlineStr">
        <is>
          <t>筆電、手機、顯示器等 3C 產品的樞紐研發製造，以及精密金屬沖壓件與彈簧。</t>
        </is>
      </c>
      <c r="H18" s="83" t="inlineStr">
        <is>
          <t>AI PC 換機</t>
        </is>
      </c>
      <c r="I18" s="82" t="inlineStr">
        <is>
          <t>題材主要在 AI PC 換機潮帶動的筆電出貨與轉軸升級。</t>
        </is>
      </c>
      <c r="J18" s="84" t="n">
        <v>46302</v>
      </c>
    </row>
    <row r="19">
      <c r="A19" s="78" t="inlineStr">
        <is>
          <t>CRDO</t>
        </is>
      </c>
      <c r="B19" s="79" t="inlineStr">
        <is>
          <t>Credo</t>
        </is>
      </c>
      <c r="C19" s="80" t="inlineStr">
        <is>
          <t>美股</t>
        </is>
      </c>
      <c r="D19" s="79" t="inlineStr">
        <is>
          <t>美股・半導體</t>
        </is>
      </c>
      <c r="E19" s="81" t="n"/>
      <c r="F19" s="82" t="inlineStr">
        <is>
          <t>AEC 主動式電纜與 SerDes</t>
        </is>
      </c>
      <c r="G19" s="82" t="inlineStr">
        <is>
          <t>高速連接方案公司，產品包括主動式電纜（AEC）、光模組 DSP 與 SerDes IP。</t>
        </is>
      </c>
      <c r="H19" s="83" t="inlineStr">
        <is>
          <t>AEC、資料中心互連</t>
        </is>
      </c>
      <c r="I19" s="82" t="inlineStr">
        <is>
          <t>AI 機櫃內短距互連大量改用 AEC，Credo 是主要供應商。</t>
        </is>
      </c>
      <c r="J19" s="84" t="n"/>
    </row>
    <row r="20">
      <c r="A20" s="78" t="inlineStr">
        <is>
          <t>7610</t>
        </is>
      </c>
      <c r="B20" s="79" t="inlineStr">
        <is>
          <t>聯友金屬-創</t>
        </is>
      </c>
      <c r="C20" s="80" t="inlineStr">
        <is>
          <t>台股</t>
        </is>
      </c>
      <c r="D20" s="79" t="inlineStr">
        <is>
          <t>金屬材料</t>
        </is>
      </c>
      <c r="E20" s="81" t="n">
        <v>5.83</v>
      </c>
      <c r="F20" s="82" t="inlineStr">
        <is>
          <t>鎢、鈷化學品（創新板）</t>
        </is>
      </c>
      <c r="G20" s="82" t="inlineStr">
        <is>
          <t>生產鎢酸鈉與硫酸鈷等金屬化學品，上市於創新板。</t>
        </is>
      </c>
      <c r="H20" s="83" t="inlineStr">
        <is>
          <t>戰略金屬、鎢價</t>
        </is>
      </c>
      <c r="I20" s="82" t="inlineStr">
        <is>
          <t>AI 題材間接，主要看鎢、鈷等戰略金屬的價格走勢。</t>
        </is>
      </c>
      <c r="J20" s="84" t="n">
        <v>46302</v>
      </c>
    </row>
    <row r="21">
      <c r="A21" s="78" t="inlineStr">
        <is>
          <t>6725</t>
        </is>
      </c>
      <c r="B21" s="79" t="inlineStr">
        <is>
          <t>矽科宏晟</t>
        </is>
      </c>
      <c r="C21" s="80" t="inlineStr">
        <is>
          <t>台股</t>
        </is>
      </c>
      <c r="D21" s="79" t="inlineStr">
        <is>
          <t>廠務系統</t>
        </is>
      </c>
      <c r="E21" s="81" t="n">
        <v>3.71</v>
      </c>
      <c r="F21" s="82" t="inlineStr">
        <is>
          <t>高科技廠製程廠務系統整合</t>
        </is>
      </c>
      <c r="G21" s="82" t="inlineStr">
        <is>
          <t>高科技產業的製程廠務系統整合工程、製程供應系統設備，以及後續維護保養。</t>
        </is>
      </c>
      <c r="H21" s="83" t="inlineStr">
        <is>
          <t>晶圓廠擴廠、廠務工程</t>
        </is>
      </c>
      <c r="I21" s="82" t="inlineStr">
        <is>
          <t>跟著晶圓廠與先進封裝擴產走，接單能見度看大客戶資本支出。</t>
        </is>
      </c>
      <c r="J21" s="84" t="n">
        <v>46302</v>
      </c>
    </row>
    <row r="22">
      <c r="A22" s="78" t="inlineStr">
        <is>
          <t>2441</t>
        </is>
      </c>
      <c r="B22" s="79" t="inlineStr">
        <is>
          <t>超豐</t>
        </is>
      </c>
      <c r="C22" s="80" t="inlineStr">
        <is>
          <t>台股</t>
        </is>
      </c>
      <c r="D22" s="79" t="inlineStr">
        <is>
          <t>半導體封測</t>
        </is>
      </c>
      <c r="E22" s="81" t="n">
        <v>56.88</v>
      </c>
      <c r="F22" s="82" t="inlineStr">
        <is>
          <t>傳統 IC 封裝測試</t>
        </is>
      </c>
      <c r="G22" s="82" t="inlineStr">
        <is>
          <t>各種積體電路的封裝與測試，以導線架等傳統封裝為主，屬力成集團。</t>
        </is>
      </c>
      <c r="H22" s="83" t="inlineStr">
        <is>
          <t>封測產能</t>
        </is>
      </c>
      <c r="I22" s="82" t="inlineStr">
        <is>
          <t>AI 直接題材有限，主要看消費性與車用晶片的封測需求。</t>
        </is>
      </c>
      <c r="J22" s="84" t="n">
        <v>46302</v>
      </c>
    </row>
    <row r="23">
      <c r="A23" s="78" t="inlineStr">
        <is>
          <t>4966</t>
        </is>
      </c>
      <c r="B23" s="79" t="inlineStr">
        <is>
          <t>譜瑞-KY</t>
        </is>
      </c>
      <c r="C23" s="80" t="inlineStr">
        <is>
          <t>台股</t>
        </is>
      </c>
      <c r="D23" s="79" t="inlineStr">
        <is>
          <t>IC 設計</t>
        </is>
      </c>
      <c r="E23" s="81" t="n">
        <v>7.9</v>
      </c>
      <c r="F23" s="82" t="inlineStr">
        <is>
          <t>高速傳輸介面與顯示晶片</t>
        </is>
      </c>
      <c r="G23" s="82" t="inlineStr">
        <is>
          <t>高速訊號傳輸介面（DisplayPort、USB、PCIe Retimer 等）與顯示、觸控晶片設計。</t>
        </is>
      </c>
      <c r="H23" s="83" t="inlineStr">
        <is>
          <t>PCIe Retimer、高速介面、AI 伺服器</t>
        </is>
      </c>
      <c r="I23" s="82" t="inlineStr">
        <is>
          <t>AI 伺服器內部高速傳輸需要 Retimer 晶片，是譜瑞跨入資料中心的方向。</t>
        </is>
      </c>
      <c r="J23" s="84" t="n">
        <v>46302</v>
      </c>
    </row>
    <row r="24">
      <c r="A24" s="78" t="inlineStr">
        <is>
          <t>4971</t>
        </is>
      </c>
      <c r="B24" s="79" t="inlineStr">
        <is>
          <t>IET-KY</t>
        </is>
      </c>
      <c r="C24" s="80" t="inlineStr">
        <is>
          <t>台股</t>
        </is>
      </c>
      <c r="D24" s="79" t="inlineStr">
        <is>
          <t>化合物半導體</t>
        </is>
      </c>
      <c r="E24" s="81" t="n">
        <v>4.72</v>
      </c>
      <c r="F24" s="82" t="inlineStr">
        <is>
          <t>GaAs／InP 磊晶片</t>
        </is>
      </c>
      <c r="G24" s="82" t="inlineStr">
        <is>
          <t>化合物半導體磊晶片廠，產品包括 GaAs pHEMT、InP HBT 與 GaSb 紅外線磊晶片。</t>
        </is>
      </c>
      <c r="H24" s="83" t="inlineStr">
        <is>
          <t>InP、光通訊、矽光子</t>
        </is>
      </c>
      <c r="I24" s="82" t="inlineStr">
        <is>
          <t>InP 磊晶用於高速光通訊元件，受惠資料中心光模組升級。</t>
        </is>
      </c>
      <c r="J24" s="84" t="n">
        <v>46302</v>
      </c>
    </row>
    <row r="25">
      <c r="A25" s="78" t="inlineStr">
        <is>
          <t>5347</t>
        </is>
      </c>
      <c r="B25" s="79" t="inlineStr">
        <is>
          <t>世界</t>
        </is>
      </c>
      <c r="C25" s="80" t="inlineStr">
        <is>
          <t>台股</t>
        </is>
      </c>
      <c r="D25" s="79" t="inlineStr">
        <is>
          <t>晶圓代工</t>
        </is>
      </c>
      <c r="E25" s="81" t="n">
        <v>187.83</v>
      </c>
      <c r="F25" s="82" t="inlineStr">
        <is>
          <t>特殊製程晶圓代工</t>
        </is>
      </c>
      <c r="G25" s="82" t="inlineStr">
        <is>
          <t>8 吋與 12 吋特殊製程晶圓代工，主力為電源管理 IC、顯示驅動 IC 與分離式元件，並與恩智浦合資在新加坡建 12 吋廠（VSMC）。</t>
        </is>
      </c>
      <c r="H25" s="83" t="inlineStr">
        <is>
          <t>VSMC、電源管理 IC、AI 伺服器供電</t>
        </is>
      </c>
      <c r="I25" s="82" t="inlineStr">
        <is>
          <t>AI 伺服器電源架構升級帶動電源管理 IC 投片；VSMC 12 吋廠是中長期成長主軸。</t>
        </is>
      </c>
      <c r="J25" s="84" t="n">
        <v>46302</v>
      </c>
    </row>
    <row r="26">
      <c r="A26" s="78" t="inlineStr">
        <is>
          <t>6805</t>
        </is>
      </c>
      <c r="B26" s="79" t="inlineStr">
        <is>
          <t>富世達</t>
        </is>
      </c>
      <c r="C26" s="80" t="inlineStr">
        <is>
          <t>台股</t>
        </is>
      </c>
      <c r="D26" s="79" t="inlineStr">
        <is>
          <t>機構件／散熱</t>
        </is>
      </c>
      <c r="E26" s="81" t="n">
        <v>6.86</v>
      </c>
      <c r="F26" s="82" t="inlineStr">
        <is>
          <t>樞紐與液冷快接頭</t>
        </is>
      </c>
      <c r="G26" s="82" t="inlineStr">
        <is>
          <t>3C 產品樞紐（含摺疊手機轉軸）廠，並跨入 AI 伺服器液冷系統的快接頭。</t>
        </is>
      </c>
      <c r="H26" s="83" t="inlineStr">
        <is>
          <t>液冷快接頭、UQD、摺疊機</t>
        </is>
      </c>
      <c r="I26" s="82" t="inlineStr">
        <is>
          <t>AI 伺服器導入液冷，快接頭用量大增，是富世達主要的成長題材。</t>
        </is>
      </c>
      <c r="J26" s="84" t="n">
        <v>46302</v>
      </c>
    </row>
    <row r="27">
      <c r="A27" s="78" t="inlineStr">
        <is>
          <t>8299</t>
        </is>
      </c>
      <c r="B27" s="79" t="inlineStr">
        <is>
          <t>群聯</t>
        </is>
      </c>
      <c r="C27" s="80" t="inlineStr">
        <is>
          <t>台股</t>
        </is>
      </c>
      <c r="D27" s="79" t="inlineStr">
        <is>
          <t>IC 設計／儲存</t>
        </is>
      </c>
      <c r="E27" s="81" t="n">
        <v>22.11</v>
      </c>
      <c r="F27" s="82" t="inlineStr">
        <is>
          <t>NAND 控制晶片與儲存方案</t>
        </is>
      </c>
      <c r="G27" s="82" t="inlineStr">
        <is>
          <t>NAND Flash 控制晶片與儲存解決方案設計，產品涵蓋消費性、工控與企業級 SSD。</t>
        </is>
      </c>
      <c r="H27" s="83" t="inlineStr">
        <is>
          <t>企業級 SSD、aiDAPTIV+、NAND 漲價</t>
        </is>
      </c>
      <c r="I27" s="82" t="inlineStr">
        <is>
          <t>AI 推論帶動企業級 SSD 需求，自家 aiDAPTIV+ 用 SSD 擴充 GPU 記憶體做地端 AI 訓練。</t>
        </is>
      </c>
      <c r="J27" s="84" t="n">
        <v>46302</v>
      </c>
    </row>
    <row r="28">
      <c r="A28" s="78" t="inlineStr">
        <is>
          <t>4989</t>
        </is>
      </c>
      <c r="B28" s="79" t="inlineStr">
        <is>
          <t>榮科</t>
        </is>
      </c>
      <c r="C28" s="80" t="inlineStr">
        <is>
          <t>台股</t>
        </is>
      </c>
      <c r="D28" s="79" t="inlineStr">
        <is>
          <t>材料</t>
        </is>
      </c>
      <c r="E28" s="81" t="n">
        <v>17.28</v>
      </c>
      <c r="F28" s="82" t="inlineStr">
        <is>
          <t>電解銅箔</t>
        </is>
      </c>
      <c r="G28" s="82" t="inlineStr">
        <is>
          <t>電解銅箔的製造與銷售，應用於印刷電路板。</t>
        </is>
      </c>
      <c r="H28" s="83" t="inlineStr">
        <is>
          <t>高頻高速銅箔、AI 伺服器 PCB</t>
        </is>
      </c>
      <c r="I28" s="82" t="inlineStr">
        <is>
          <t>AI 伺服器板材升級需要低粗糙度的高階銅箔，帶動產品組合轉佳。</t>
        </is>
      </c>
      <c r="J28" s="84" t="n">
        <v>46302</v>
      </c>
    </row>
    <row r="29">
      <c r="A29" s="78" t="inlineStr">
        <is>
          <t>2329</t>
        </is>
      </c>
      <c r="B29" s="79" t="inlineStr">
        <is>
          <t>華泰</t>
        </is>
      </c>
      <c r="C29" s="80" t="inlineStr">
        <is>
          <t>台股</t>
        </is>
      </c>
      <c r="D29" s="79" t="inlineStr">
        <is>
          <t>半導體封測</t>
        </is>
      </c>
      <c r="E29" s="81" t="n">
        <v>65.89</v>
      </c>
      <c r="F29" s="82" t="inlineStr">
        <is>
          <t>記憶體封測與 EMS</t>
        </is>
      </c>
      <c r="G29" s="82" t="inlineStr">
        <is>
          <t>積體電路封裝測試與電子製造服務，記憶體封測是主力之一。</t>
        </is>
      </c>
      <c r="H29" s="83" t="inlineStr">
        <is>
          <t>記憶體封測、NAND</t>
        </is>
      </c>
      <c r="I29" s="82" t="inlineStr">
        <is>
          <t>跟著記憶體景氣循環，NAND 與 DRAM 拉貨帶動封測稼動率。</t>
        </is>
      </c>
      <c r="J29" s="84" t="n">
        <v>46302</v>
      </c>
    </row>
    <row r="30">
      <c r="A30" s="78" t="inlineStr">
        <is>
          <t>3026</t>
        </is>
      </c>
      <c r="B30" s="79" t="inlineStr">
        <is>
          <t>禾伸堂</t>
        </is>
      </c>
      <c r="C30" s="80" t="inlineStr">
        <is>
          <t>台股</t>
        </is>
      </c>
      <c r="D30" s="79" t="inlineStr">
        <is>
          <t>被動元件</t>
        </is>
      </c>
      <c r="E30" s="81" t="n">
        <v>16.59</v>
      </c>
      <c r="F30" s="82" t="inlineStr">
        <is>
          <t>MLCC 與被動元件</t>
        </is>
      </c>
      <c r="G30" s="82" t="inlineStr">
        <is>
          <t>被動元件（MLCC 等）、系統模組與主動元件的製造與代理。</t>
        </is>
      </c>
      <c r="H30" s="83" t="inlineStr">
        <is>
          <t>高容 MLCC、AI 伺服器</t>
        </is>
      </c>
      <c r="I30" s="82" t="inlineStr">
        <is>
          <t>受惠 AI 伺服器與電源相關高階 MLCC 需求。</t>
        </is>
      </c>
      <c r="J30" s="84" t="n">
        <v>46302</v>
      </c>
    </row>
    <row r="31">
      <c r="A31" s="78" t="inlineStr">
        <is>
          <t>6173</t>
        </is>
      </c>
      <c r="B31" s="79" t="inlineStr">
        <is>
          <t>信昌電</t>
        </is>
      </c>
      <c r="C31" s="80" t="inlineStr">
        <is>
          <t>台股</t>
        </is>
      </c>
      <c r="D31" s="79" t="inlineStr">
        <is>
          <t>被動元件</t>
        </is>
      </c>
      <c r="E31" s="81" t="n">
        <v>17.12</v>
      </c>
      <c r="F31" s="82" t="inlineStr">
        <is>
          <t>晶片電容、電阻與介電瓷粉</t>
        </is>
      </c>
      <c r="G31" s="82" t="inlineStr">
        <is>
          <t>晶片電容、晶片電阻、介電瓷粉與電感，瓷粉是 MLCC 的關鍵原料。</t>
        </is>
      </c>
      <c r="H31" s="83" t="inlineStr">
        <is>
          <t>MLCC 材料、被動元件漲價</t>
        </is>
      </c>
      <c r="I31" s="82" t="inlineStr">
        <is>
          <t>被動元件景氣回升時，上游瓷粉與高階 MLCC 同步受惠。</t>
        </is>
      </c>
      <c r="J31" s="84" t="n">
        <v>46302</v>
      </c>
    </row>
    <row r="32">
      <c r="A32" s="78" t="inlineStr">
        <is>
          <t>6770</t>
        </is>
      </c>
      <c r="B32" s="79" t="inlineStr">
        <is>
          <t>力積電</t>
        </is>
      </c>
      <c r="C32" s="80" t="inlineStr">
        <is>
          <t>台股</t>
        </is>
      </c>
      <c r="D32" s="79" t="inlineStr">
        <is>
          <t>晶圓代工</t>
        </is>
      </c>
      <c r="E32" s="81" t="n">
        <v>471.21</v>
      </c>
      <c r="F32" s="82" t="inlineStr">
        <is>
          <t>記憶體與邏輯晶圓代工</t>
        </is>
      </c>
      <c r="G32" s="82" t="inlineStr">
        <is>
          <t>記憶體與邏輯晶圓代工，並提供 ASIC 整合服務與矽智財設計。</t>
        </is>
      </c>
      <c r="H32" s="83" t="inlineStr">
        <is>
          <t>3D 堆疊 WoW、記憶體代工</t>
        </is>
      </c>
      <c r="I32" s="82" t="inlineStr">
        <is>
          <t>3D 晶圓堆疊（WoW）技術鎖定 AI 記憶體頻寬需求，另受惠記憶體代工報價回升。</t>
        </is>
      </c>
      <c r="J32" s="84" t="n">
        <v>46302</v>
      </c>
    </row>
    <row r="33">
      <c r="A33" s="78" t="inlineStr">
        <is>
          <t>6488</t>
        </is>
      </c>
      <c r="B33" s="79" t="inlineStr">
        <is>
          <t>環球晶</t>
        </is>
      </c>
      <c r="C33" s="80" t="inlineStr">
        <is>
          <t>台股</t>
        </is>
      </c>
      <c r="D33" s="79" t="inlineStr">
        <is>
          <t>半導體材料</t>
        </is>
      </c>
      <c r="E33" s="81" t="n">
        <v>47.81</v>
      </c>
      <c r="F33" s="82" t="inlineStr">
        <is>
          <t>全球前三大矽晶圓廠</t>
        </is>
      </c>
      <c r="G33" s="82" t="inlineStr">
        <is>
          <t>半導體矽晶棒與矽晶圓的研發、設計與製造，在美、歐、亞多地設廠。</t>
        </is>
      </c>
      <c r="H33" s="83" t="inlineStr">
        <is>
          <t>先進製程矽晶圓、HBM、美國廠</t>
        </is>
      </c>
      <c r="I33" s="82" t="inlineStr">
        <is>
          <t>AI 帶動先進製程與 HBM 堆疊用晶圓需求，美國新廠受惠在地化供應。</t>
        </is>
      </c>
      <c r="J33" s="84" t="n">
        <v>46302</v>
      </c>
    </row>
    <row r="34">
      <c r="A34" s="78" t="inlineStr">
        <is>
          <t>7734</t>
        </is>
      </c>
      <c r="B34" s="79" t="inlineStr">
        <is>
          <t>印能</t>
        </is>
      </c>
      <c r="C34" s="80" t="inlineStr">
        <is>
          <t>台股</t>
        </is>
      </c>
      <c r="D34" s="79" t="inlineStr">
        <is>
          <t>半導體設備</t>
        </is>
      </c>
      <c r="E34" s="81" t="n">
        <v>2.8</v>
      </c>
      <c r="F34" s="82" t="inlineStr">
        <is>
          <t>先進封裝除泡與熱製程設備</t>
        </is>
      </c>
      <c r="G34" s="82" t="inlineStr">
        <is>
          <t>氣動與熱能製程自動化系統，代表產品是先進封裝用的壓力除泡設備。</t>
        </is>
      </c>
      <c r="H34" s="83" t="inlineStr">
        <is>
          <t>CoWoS、SoIC、除泡設備</t>
        </is>
      </c>
      <c r="I34" s="82" t="inlineStr">
        <is>
          <t>CoWoS、SoIC 等先進封裝擴產，除泡與熱製程設備是必要站點。</t>
        </is>
      </c>
      <c r="J34" s="84" t="n">
        <v>46302</v>
      </c>
    </row>
    <row r="35">
      <c r="A35" s="78" t="inlineStr">
        <is>
          <t>3661</t>
        </is>
      </c>
      <c r="B35" s="79" t="inlineStr">
        <is>
          <t>世芯-KY</t>
        </is>
      </c>
      <c r="C35" s="80" t="inlineStr">
        <is>
          <t>台股</t>
        </is>
      </c>
      <c r="D35" s="79" t="inlineStr">
        <is>
          <t>IC 設計服務</t>
        </is>
      </c>
      <c r="E35" s="81" t="n">
        <v>8.630000000000001</v>
      </c>
      <c r="F35" s="82" t="inlineStr">
        <is>
          <t>雲端 AI ASIC 設計服務</t>
        </is>
      </c>
      <c r="G35" s="82" t="inlineStr">
        <is>
          <t>專業 ASIC 與 SoC 設計及委託生產服務，以先進製程與大型晶片見長。</t>
        </is>
      </c>
      <c r="H35" s="83" t="inlineStr">
        <is>
          <t>AI ASIC、雲端客戶、3nm／2nm</t>
        </is>
      </c>
      <c r="I35" s="82" t="inlineStr">
        <is>
          <t>美系雲端大廠自研 AI 加速器的設計服務夥伴，營運高度連動 AI ASIC 量產節奏。</t>
        </is>
      </c>
      <c r="J35" s="84" t="n">
        <v>46302</v>
      </c>
    </row>
    <row r="36">
      <c r="A36" s="78" t="inlineStr">
        <is>
          <t>6723</t>
        </is>
      </c>
      <c r="B36" s="79" t="inlineStr">
        <is>
          <t>瑞薩</t>
        </is>
      </c>
      <c r="C36" s="80" t="inlineStr">
        <is>
          <t>日股</t>
        </is>
      </c>
      <c r="D36" s="79" t="inlineStr">
        <is>
          <t>日股・半導體</t>
        </is>
      </c>
      <c r="E36" s="81" t="n"/>
      <c r="F36" s="82" t="inlineStr">
        <is>
          <t>車用與工控 MCU 大廠</t>
        </is>
      </c>
      <c r="G36" s="82" t="inlineStr">
        <is>
          <t>日本半導體公司，主力為 MCU、類比與電源晶片，車用比重高。</t>
        </is>
      </c>
      <c r="H36" s="83" t="inlineStr">
        <is>
          <t>MCU、電源管理</t>
        </is>
      </c>
      <c r="I36" s="82" t="inlineStr">
        <is>
          <t>主要看車用與工控景氣回溫，AI 相關在資料中心電源方案。</t>
        </is>
      </c>
      <c r="J36" s="84" t="n"/>
    </row>
    <row r="37">
      <c r="A37" s="78" t="inlineStr">
        <is>
          <t>7751</t>
        </is>
      </c>
      <c r="B37" s="79" t="inlineStr">
        <is>
          <t>竑騰</t>
        </is>
      </c>
      <c r="C37" s="80" t="inlineStr">
        <is>
          <t>台股</t>
        </is>
      </c>
      <c r="D37" s="79" t="inlineStr">
        <is>
          <t>半導體設備</t>
        </is>
      </c>
      <c r="E37" s="81" t="n">
        <v>2.69</v>
      </c>
      <c r="F37" s="82" t="inlineStr">
        <is>
          <t>先進封裝自動化設備</t>
        </is>
      </c>
      <c r="G37" s="82" t="inlineStr">
        <is>
          <t>半導體自動化生產與光學檢測設備，以及相關治具、零件與維修。</t>
        </is>
      </c>
      <c r="H37" s="83" t="inlineStr">
        <is>
          <t>CoWoS、先進封裝設備</t>
        </is>
      </c>
      <c r="I37" s="82" t="inlineStr">
        <is>
          <t>先進封裝擴產帶動自動化貼合與檢測設備需求。</t>
        </is>
      </c>
      <c r="J37" s="84" t="n">
        <v>46302</v>
      </c>
    </row>
    <row r="38">
      <c r="A38" s="78" t="inlineStr">
        <is>
          <t>2408</t>
        </is>
      </c>
      <c r="B38" s="79" t="inlineStr">
        <is>
          <t>南亞科</t>
        </is>
      </c>
      <c r="C38" s="80" t="inlineStr">
        <is>
          <t>台股</t>
        </is>
      </c>
      <c r="D38" s="79" t="inlineStr">
        <is>
          <t>記憶體</t>
        </is>
      </c>
      <c r="E38" s="81" t="n">
        <v>345.02</v>
      </c>
      <c r="F38" s="82" t="inlineStr">
        <is>
          <t>標準型 DRAM 製造</t>
        </is>
      </c>
      <c r="G38" s="82" t="inlineStr">
        <is>
          <t>台灣主要的 DRAM 製造商，產品以 DDR4、DDR5 與低功耗 DRAM 為主。</t>
        </is>
      </c>
      <c r="H38" s="83" t="inlineStr">
        <is>
          <t>DRAM 漲價、DDR5、HBM 排擠效應</t>
        </is>
      </c>
      <c r="I38" s="82" t="inlineStr">
        <is>
          <t>國際大廠產能轉向 HBM，標準型 DRAM 供給吃緊、報價上漲。</t>
        </is>
      </c>
      <c r="J38" s="84" t="n">
        <v>46302</v>
      </c>
    </row>
    <row r="39">
      <c r="A39" s="78" t="inlineStr">
        <is>
          <t>ALAB</t>
        </is>
      </c>
      <c r="B39" s="79" t="inlineStr">
        <is>
          <t>Astera Labs</t>
        </is>
      </c>
      <c r="C39" s="80" t="inlineStr">
        <is>
          <t>美股</t>
        </is>
      </c>
      <c r="D39" s="79" t="inlineStr">
        <is>
          <t>美股・半導體</t>
        </is>
      </c>
      <c r="E39" s="81" t="n"/>
      <c r="F39" s="82" t="inlineStr">
        <is>
          <t>PCIe／CXL Retimer 與交換晶片</t>
        </is>
      </c>
      <c r="G39" s="82" t="inlineStr">
        <is>
          <t>資料中心連接晶片公司，產品有 PCIe／CXL Retimer、Scorpio 交換晶片與智慧線纜模組。</t>
        </is>
      </c>
      <c r="H39" s="83" t="inlineStr">
        <is>
          <t>PCIe Retimer、Scorpio、AI 機櫃</t>
        </is>
      </c>
      <c r="I39" s="82" t="inlineStr">
        <is>
          <t>AI 伺服器 GPU 與 CPU 之間的高速連接，ALAB 是關鍵晶片供應商。</t>
        </is>
      </c>
      <c r="J39" s="84" t="n"/>
    </row>
    <row r="40">
      <c r="A40" s="78" t="inlineStr">
        <is>
          <t>NBIS</t>
        </is>
      </c>
      <c r="B40" s="79" t="inlineStr">
        <is>
          <t>Nebius</t>
        </is>
      </c>
      <c r="C40" s="80" t="inlineStr">
        <is>
          <t>美股</t>
        </is>
      </c>
      <c r="D40" s="79" t="inlineStr">
        <is>
          <t>美股・AI 雲端</t>
        </is>
      </c>
      <c r="E40" s="81" t="n"/>
      <c r="F40" s="82" t="inlineStr">
        <is>
          <t>GPU 雲端服務</t>
        </is>
      </c>
      <c r="G40" s="82" t="inlineStr">
        <is>
          <t>AI 基礎設施公司，提供 GPU 雲端運算與 AI 開發平台。</t>
        </is>
      </c>
      <c r="H40" s="83" t="inlineStr">
        <is>
          <t>GPU 雲、Neocloud</t>
        </is>
      </c>
      <c r="I40" s="82" t="inlineStr">
        <is>
          <t>新型態 AI 雲端業者（Neocloud），營收跟著 GPU 叢集擴建與大客戶合約成長。</t>
        </is>
      </c>
      <c r="J40" s="84" t="n"/>
    </row>
    <row r="41">
      <c r="A41" s="78" t="inlineStr">
        <is>
          <t>285A</t>
        </is>
      </c>
      <c r="B41" s="79" t="inlineStr">
        <is>
          <t>Kioxia</t>
        </is>
      </c>
      <c r="C41" s="80" t="inlineStr">
        <is>
          <t>日股</t>
        </is>
      </c>
      <c r="D41" s="79" t="inlineStr">
        <is>
          <t>日股・記憶體</t>
        </is>
      </c>
      <c r="E41" s="81" t="n"/>
      <c r="F41" s="82" t="inlineStr">
        <is>
          <t>NAND Flash 大廠</t>
        </is>
      </c>
      <c r="G41" s="82" t="inlineStr">
        <is>
          <t>日本 NAND Flash 製造商，前身為東芝記憶體。</t>
        </is>
      </c>
      <c r="H41" s="83" t="inlineStr">
        <is>
          <t>企業級 SSD、NAND 漲價</t>
        </is>
      </c>
      <c r="I41" s="82" t="inlineStr">
        <is>
          <t>AI 推論與資料中心帶動企業級 SSD 需求，NAND 報價回升。</t>
        </is>
      </c>
      <c r="J41" s="84" t="n"/>
    </row>
    <row r="42">
      <c r="A42" s="78" t="inlineStr">
        <is>
          <t>3110</t>
        </is>
      </c>
      <c r="B42" s="79" t="inlineStr">
        <is>
          <t>日東紡</t>
        </is>
      </c>
      <c r="C42" s="80" t="inlineStr">
        <is>
          <t>日股</t>
        </is>
      </c>
      <c r="D42" s="79" t="inlineStr">
        <is>
          <t>日股・材料</t>
        </is>
      </c>
      <c r="E42" s="81" t="n"/>
      <c r="F42" s="82" t="inlineStr">
        <is>
          <t>高階玻纖布（T-glass）</t>
        </is>
      </c>
      <c r="G42" s="82" t="inlineStr">
        <is>
          <t>日本玻璃纖維大廠，生產 IC 載板與 PCB 用的低膨脹、低介電玻纖布。</t>
        </is>
      </c>
      <c r="H42" s="83" t="inlineStr">
        <is>
          <t>T-glass、ABF 載板材料</t>
        </is>
      </c>
      <c r="I42" s="82" t="inlineStr">
        <is>
          <t>AI 晶片載板需要低膨脹 T-glass 玻纖布，日東紡是主要供應商且供給吃緊。</t>
        </is>
      </c>
      <c r="J42" s="84" t="n"/>
    </row>
    <row r="43">
      <c r="A43" s="78" t="inlineStr">
        <is>
          <t>AAOI</t>
        </is>
      </c>
      <c r="B43" s="79" t="inlineStr">
        <is>
          <t>Applied Opto</t>
        </is>
      </c>
      <c r="C43" s="80" t="inlineStr">
        <is>
          <t>美股</t>
        </is>
      </c>
      <c r="D43" s="79" t="inlineStr">
        <is>
          <t>美股・光通訊</t>
        </is>
      </c>
      <c r="E43" s="81" t="n"/>
      <c r="F43" s="82" t="inlineStr">
        <is>
          <t>光收發模組</t>
        </is>
      </c>
      <c r="G43" s="82" t="inlineStr">
        <is>
          <t>光通訊元件與收發模組製造商，客戶包括資料中心與有線電視業者。</t>
        </is>
      </c>
      <c r="H43" s="83" t="inlineStr">
        <is>
          <t>800G 光模組、資料中心</t>
        </is>
      </c>
      <c r="I43" s="82" t="inlineStr">
        <is>
          <t>資料中心光模組升級到 800G 與 1.6T 的受惠股。</t>
        </is>
      </c>
      <c r="J43" s="84" t="n"/>
    </row>
    <row r="44">
      <c r="A44" s="78" t="inlineStr">
        <is>
          <t>SNDK</t>
        </is>
      </c>
      <c r="B44" s="79" t="inlineStr">
        <is>
          <t>Sandisk</t>
        </is>
      </c>
      <c r="C44" s="80" t="inlineStr">
        <is>
          <t>美股</t>
        </is>
      </c>
      <c r="D44" s="79" t="inlineStr">
        <is>
          <t>美股・記憶體</t>
        </is>
      </c>
      <c r="E44" s="81" t="n"/>
      <c r="F44" s="82" t="inlineStr">
        <is>
          <t>NAND Flash 與 SSD</t>
        </is>
      </c>
      <c r="G44" s="82" t="inlineStr">
        <is>
          <t>從 Western Digital 分拆出來的 NAND Flash 與 SSD 公司。</t>
        </is>
      </c>
      <c r="H44" s="83" t="inlineStr">
        <is>
          <t>企業級 SSD、NAND 漲價</t>
        </is>
      </c>
      <c r="I44" s="82" t="inlineStr">
        <is>
          <t>AI 資料中心儲存需求帶動 NAND 報價與企業級 SSD 出貨。</t>
        </is>
      </c>
      <c r="J44" s="84" t="n"/>
    </row>
    <row r="45">
      <c r="A45" s="78" t="inlineStr">
        <is>
          <t>LITE</t>
        </is>
      </c>
      <c r="B45" s="79" t="inlineStr">
        <is>
          <t>Lumentum</t>
        </is>
      </c>
      <c r="C45" s="80" t="inlineStr">
        <is>
          <t>美股</t>
        </is>
      </c>
      <c r="D45" s="79" t="inlineStr">
        <is>
          <t>美股・光通訊</t>
        </is>
      </c>
      <c r="E45" s="81" t="n"/>
      <c r="F45" s="82" t="inlineStr">
        <is>
          <t>光通訊雷射與光模組</t>
        </is>
      </c>
      <c r="G45" s="82" t="inlineStr">
        <is>
          <t>光通訊與雷射元件大廠，產品包括 EML 雷射、光模組與 3D 感測雷射。</t>
        </is>
      </c>
      <c r="H45" s="83" t="inlineStr">
        <is>
          <t>EML、CPO、1.6T</t>
        </is>
      </c>
      <c r="I45" s="82" t="inlineStr">
        <is>
          <t>AI 資料中心高速光模組與 CPO 的雷射光源供應商。</t>
        </is>
      </c>
      <c r="J45" s="84" t="n"/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" customWidth="1" min="3" max="3"/>
    <col width="80" customWidth="1" min="4" max="4"/>
  </cols>
  <sheetData>
    <row r="1" ht="24" customHeight="1">
      <c r="A1" s="18" t="inlineStr">
        <is>
          <t>日期</t>
        </is>
      </c>
      <c r="B1" s="18" t="inlineStr">
        <is>
          <t>問題</t>
        </is>
      </c>
      <c r="C1" s="18" t="inlineStr">
        <is>
          <t>#</t>
        </is>
      </c>
      <c r="D1" s="18" t="inlineStr">
        <is>
          <t>改進原則</t>
        </is>
      </c>
    </row>
    <row r="2" ht="22" customHeight="1">
      <c r="A2" s="86" t="n">
        <v>46204</v>
      </c>
      <c r="B2" s="32" t="inlineStr">
        <is>
          <t>死抱股票回檔太大</t>
        </is>
      </c>
      <c r="C2" s="33" t="n">
        <v>1</v>
      </c>
      <c r="D2" s="32" t="inlineStr">
        <is>
          <t>照評分配置部位大小</t>
        </is>
      </c>
    </row>
    <row r="3" ht="22" customHeight="1">
      <c r="A3" s="86" t="n">
        <v>46204</v>
      </c>
      <c r="B3" s="32" t="inlineStr">
        <is>
          <t>死抱股票回檔太大</t>
        </is>
      </c>
      <c r="C3" s="33" t="n">
        <v>2</v>
      </c>
      <c r="D3" s="32" t="inlineStr">
        <is>
          <t>fwd PE 在歷史上數字相對高 就是要注意風險</t>
        </is>
      </c>
    </row>
    <row r="4" ht="22" customHeight="1">
      <c r="A4" s="86" t="n">
        <v>46204</v>
      </c>
      <c r="B4" s="32" t="inlineStr">
        <is>
          <t>死抱股票回檔太大</t>
        </is>
      </c>
      <c r="C4" s="33" t="n">
        <v>3</v>
      </c>
      <c r="D4" s="32" t="inlineStr">
        <is>
          <t>先訂出最有可能的目標價 然後分區加碼點位 目的是為為了避免在同樣的價格附近一直加碼</t>
        </is>
      </c>
    </row>
    <row r="5" ht="22" customHeight="1">
      <c r="A5" s="86" t="n">
        <v>46204</v>
      </c>
      <c r="B5" s="32" t="inlineStr">
        <is>
          <t>死抱股票回檔太大</t>
        </is>
      </c>
      <c r="C5" s="33" t="n">
        <v>4</v>
      </c>
      <c r="D5" s="32" t="inlineStr">
        <is>
          <t>總部位獲利到達一定程度後 降槓桿 看是保留現金或是換現股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showGridLines="0" tabSelected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2" customHeight="1">
      <c r="A1" s="1" t="inlineStr">
        <is>
          <t>分頁介紹</t>
        </is>
      </c>
      <c r="B1" s="87" t="n"/>
    </row>
    <row r="2">
      <c r="A2" s="3" t="inlineStr">
        <is>
          <t>儀表板</t>
        </is>
      </c>
      <c r="B2" s="88" t="inlineStr">
        <is>
          <t>在黃色格子的下拉選單挑一檔，下方自動帶出公司小檔案、價位、評分與備註。這頁全部是公式，不用手打</t>
        </is>
      </c>
    </row>
    <row r="3">
      <c r="A3" s="3" t="inlineStr">
        <is>
          <t>標的清單</t>
        </is>
      </c>
      <c r="B3" s="88" t="inlineStr">
        <is>
          <t>你的買點、目標價、評分、備註都在這裡維護。名稱會自動從「公司檔案」帶入</t>
        </is>
      </c>
    </row>
    <row r="4">
      <c r="A4" s="3" t="inlineStr">
        <is>
          <t>公司檔案</t>
        </is>
      </c>
      <c r="B4" s="88" t="inlineStr">
        <is>
          <t>每檔公司一列：產業、股本、一句話定位、主要業務、AI 題材，想改就直接改</t>
        </is>
      </c>
    </row>
    <row r="5">
      <c r="A5" s="3" t="inlineStr">
        <is>
          <t>檢討</t>
        </is>
      </c>
      <c r="B5" s="88" t="inlineStr">
        <is>
          <t>交易檢討紀錄</t>
        </is>
      </c>
    </row>
    <row r="6" ht="22" customHeight="1">
      <c r="A6" s="89" t="n"/>
      <c r="B6" s="88" t="n"/>
    </row>
    <row r="7">
      <c r="A7" s="90" t="inlineStr">
        <is>
          <t>新增一檔股票（兩步）</t>
        </is>
      </c>
      <c r="B7" s="91" t="n"/>
    </row>
    <row r="8">
      <c r="A8" s="3" t="inlineStr">
        <is>
          <t>步驟 1</t>
        </is>
      </c>
      <c r="B8" s="88" t="inlineStr">
        <is>
          <t>到「公司檔案」最後一列的下一列填代號、名稱、市場等資料（表格會自動延伸）</t>
        </is>
      </c>
    </row>
    <row r="9">
      <c r="A9" s="3" t="inlineStr">
        <is>
          <t>步驟 2</t>
        </is>
      </c>
      <c r="B9" s="88" t="inlineStr">
        <is>
          <t>到「標的清單」最後一列的下一列填代號和價位；名稱、TP1 漲幅、平均分會自動算好</t>
        </is>
      </c>
    </row>
    <row r="10">
      <c r="A10" s="3" t="inlineStr">
        <is>
          <t>完成</t>
        </is>
      </c>
      <c r="B10" s="88" t="inlineStr">
        <is>
          <t>回到「儀表板」，下拉選單裡就會出現這檔</t>
        </is>
      </c>
    </row>
    <row r="11">
      <c r="A11" s="3" t="n"/>
      <c r="B11" s="88" t="n"/>
    </row>
    <row r="12" ht="22" customHeight="1">
      <c r="A12" s="1" t="inlineStr">
        <is>
          <t>欄位規則</t>
        </is>
      </c>
      <c r="B12" s="87" t="n"/>
    </row>
    <row r="13">
      <c r="A13" s="3" t="inlineStr">
        <is>
          <t>價位欄（買點、TP）</t>
        </is>
      </c>
      <c r="B13" s="88" t="inlineStr">
        <is>
          <t>只放數字。「附近、&lt;、區間、147X」這類說明寫在「備註」</t>
        </is>
      </c>
    </row>
    <row r="14">
      <c r="A14" s="3" t="inlineStr">
        <is>
          <t>評分欄</t>
        </is>
      </c>
      <c r="B14" s="88" t="inlineStr">
        <is>
          <t>0–10 的數字，三項都填才會算平均分</t>
        </is>
      </c>
    </row>
    <row r="15">
      <c r="A15" s="3" t="inlineStr">
        <is>
          <t>股本</t>
        </is>
      </c>
      <c r="B15" s="88" t="inlineStr">
        <is>
          <t>單位億元，例如 9.25；儀表板會自動換算成股數（面額 10 元）</t>
        </is>
      </c>
    </row>
    <row r="16">
      <c r="A16" s="3" t="inlineStr">
        <is>
          <t>粗體欄位</t>
        </is>
      </c>
      <c r="B16" s="88" t="inlineStr">
        <is>
          <t>公式（名稱、TP1 漲幅、平均分），不要手打</t>
        </is>
      </c>
    </row>
    <row r="17">
      <c r="A17" s="3" t="n"/>
      <c r="B17" s="88" t="n"/>
    </row>
    <row r="18" ht="22" customHeight="1">
      <c r="A18" s="1" t="inlineStr">
        <is>
          <t>顏色代表什麼</t>
        </is>
      </c>
      <c r="B18" s="87" t="n"/>
    </row>
    <row r="19">
      <c r="A19" s="5" t="inlineStr">
        <is>
          <t>黃底分類</t>
        </is>
      </c>
      <c r="B19" s="88" t="inlineStr">
        <is>
          <t>今日即時標的</t>
        </is>
      </c>
    </row>
    <row r="20">
      <c r="A20" s="92" t="inlineStr">
        <is>
          <t>紅底代號</t>
        </is>
      </c>
      <c r="B20" s="88" t="inlineStr">
        <is>
          <t>代號重複出現 → 可能是舊價位沒刪，請確認要保留哪一列</t>
        </is>
      </c>
    </row>
    <row r="21">
      <c r="A21" s="93" t="inlineStr">
        <is>
          <t>淺黃底價位</t>
        </is>
      </c>
      <c r="B21" s="88" t="inlineStr">
        <is>
          <t>原本是文字、已轉成數字；滑鼠移上去可看原本寫法，確認後可清掉黃底</t>
        </is>
      </c>
    </row>
    <row r="22">
      <c r="A22" s="89" t="n"/>
      <c r="B22" s="88" t="n"/>
    </row>
    <row r="23">
      <c r="A23" s="1" t="inlineStr">
        <is>
          <t>常用連結</t>
        </is>
      </c>
      <c r="B23" s="87" t="n"/>
    </row>
    <row r="24">
      <c r="A24" s="89" t="inlineStr">
        <is>
          <t>Market dashboard</t>
        </is>
      </c>
      <c r="B24" s="94" t="inlineStr">
        <is>
          <t>https://adamsnet.github.io/market-dashboard/union10f.html</t>
        </is>
      </c>
    </row>
  </sheetData>
  <hyperlinks>
    <hyperlink xmlns:r="http://schemas.openxmlformats.org/officeDocument/2006/relationships" ref="B24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2026-10-07T06:32:27Z</dcterms:created>
  <dcterms:modified xmlns:dcterms="http://purl.org/dc/terms/" xmlns:xsi="http://www.w3.org/2001/XMLSchema-instance" xsi:type="dcterms:W3CDTF">2026-10-07T06:57:21Z</dcterms:modified>
</cp:coreProperties>
</file>